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Settings" sheetId="2" state="visible" r:id="rId2"/>
    <sheet xmlns:r="http://schemas.openxmlformats.org/officeDocument/2006/relationships" name="Products" sheetId="3" state="visible" r:id="rId3"/>
    <sheet xmlns:r="http://schemas.openxmlformats.org/officeDocument/2006/relationships" name="Heritage" sheetId="4" state="visible" r:id="rId4"/>
    <sheet xmlns:r="http://schemas.openxmlformats.org/officeDocument/2006/relationships" name="Auto-calculated" sheetId="5" state="visible" r:id="rId5"/>
    <sheet xmlns:r="http://schemas.openxmlformats.org/officeDocument/2006/relationships" name="Progress" sheetId="6" state="visible" r:id="rId6"/>
    <sheet xmlns:r="http://schemas.openxmlformats.org/officeDocument/2006/relationships" name="Lists" sheetId="7" state="visible" r:id="rId7"/>
  </sheets>
  <definedNames>
    <definedName name="LIST_FAMILY">'Lists'!$A$2:$A$49</definedName>
    <definedName name="LIST_INTENSITY">'Lists'!$C$2:$C$4</definedName>
    <definedName name="LIST_SILLAGE">'Lists'!$E$2:$E$4</definedName>
    <definedName name="LIST_GENDER">'Lists'!$G$2:$G$4</definedName>
    <definedName name="LIST_CONC">'Lists'!$I$2:$I$3</definedName>
    <definedName name="LIST_YESNO">'Lists'!$K$2:$K$3</definedName>
    <definedName name="LIST_NOTES">'Lists'!$M$2:$M$152</definedName>
    <definedName name="LIST_SEASONKEY">'Lists'!$N$2:$N$49</definedName>
    <definedName name="LIST_SEASONVAL">'Lists'!$O$2:$O$49</definedName>
    <definedName name="MAP_SEASON">'Lists'!$N$2:$O$49</definedName>
    <definedName name="SET_CONC">'Settings'!$C$5</definedName>
    <definedName name="SET_BESTSELLER">'Settings'!$C$7</definedName>
    <definedName name="SET_SHOWPRICE">'Settings'!$C$9</definedName>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b val="1"/>
      <color rgb="00FFFFFF"/>
      <sz val="10"/>
    </font>
    <font>
      <sz val="10"/>
    </font>
    <font>
      <color rgb="007D6A5B"/>
      <sz val="9"/>
    </font>
    <font>
      <i val="1"/>
      <color rgb="007D6A5B"/>
      <sz val="10"/>
    </font>
    <font>
      <b val="1"/>
      <color rgb="00212012"/>
      <sz val="22"/>
    </font>
    <font>
      <color rgb="007D6A5B"/>
      <sz val="12"/>
    </font>
    <font>
      <b val="1"/>
      <color rgb="00212012"/>
      <sz val="13"/>
    </font>
    <font>
      <name val="Consolas"/>
      <sz val="10"/>
    </font>
    <font>
      <sz val="9"/>
    </font>
    <font>
      <b val="1"/>
      <color rgb="00212012"/>
      <sz val="16"/>
    </font>
    <font>
      <color rgb="007D6A5B"/>
      <sz val="10"/>
    </font>
    <font>
      <b val="1"/>
      <sz val="11"/>
    </font>
    <font>
      <sz val="11"/>
    </font>
    <font>
      <i val="1"/>
      <color rgb="008F3A2E"/>
      <sz val="10"/>
    </font>
  </fonts>
  <fills count="8">
    <fill>
      <patternFill/>
    </fill>
    <fill>
      <patternFill patternType="gray125"/>
    </fill>
    <fill>
      <patternFill patternType="solid">
        <fgColor rgb="00212012"/>
      </patternFill>
    </fill>
    <fill>
      <patternFill patternType="solid">
        <fgColor rgb="00F7F5EE"/>
      </patternFill>
    </fill>
    <fill>
      <patternFill patternType="solid">
        <fgColor rgb="00EFECE4"/>
      </patternFill>
    </fill>
    <fill>
      <patternFill patternType="solid">
        <fgColor rgb="00FFF8E7"/>
      </patternFill>
    </fill>
    <fill>
      <patternFill patternType="solid">
        <fgColor rgb="00FFFFFF"/>
      </patternFill>
    </fill>
    <fill>
      <patternFill patternType="solid">
        <fgColor rgb="00EAF1EA"/>
      </patternFill>
    </fill>
  </fills>
  <borders count="2">
    <border>
      <left/>
      <right/>
      <top/>
      <bottom/>
      <diagonal/>
    </border>
    <border>
      <left style="thin">
        <color rgb="00CCBCA0"/>
      </left>
      <right style="thin">
        <color rgb="00CCBCA0"/>
      </right>
      <top style="thin">
        <color rgb="00CCBCA0"/>
      </top>
      <bottom style="thin">
        <color rgb="00CCBCA0"/>
      </bottom>
    </border>
  </borders>
  <cellStyleXfs count="1">
    <xf numFmtId="0" fontId="0" fillId="0" borderId="0"/>
  </cellStyleXfs>
  <cellXfs count="30">
    <xf numFmtId="0" fontId="0" fillId="0" borderId="0" pivotButton="0" quotePrefix="0" xfId="0"/>
    <xf numFmtId="0" fontId="5" fillId="0" borderId="0" pivotButton="0" quotePrefix="0" xfId="0"/>
    <xf numFmtId="0" fontId="6" fillId="0" borderId="0" pivotButton="0" quotePrefix="0" xfId="0"/>
    <xf numFmtId="0" fontId="7" fillId="3" borderId="0" pivotButton="0" quotePrefix="0" xfId="0"/>
    <xf numFmtId="0" fontId="8" fillId="0" borderId="0" applyAlignment="1" pivotButton="0" quotePrefix="0" xfId="0">
      <alignment vertical="center"/>
    </xf>
    <xf numFmtId="0" fontId="2" fillId="0" borderId="0" applyAlignment="1" pivotButton="0" quotePrefix="0" xfId="0">
      <alignment vertical="center"/>
    </xf>
    <xf numFmtId="0" fontId="9" fillId="4" borderId="1" pivotButton="0" quotePrefix="0" xfId="0"/>
    <xf numFmtId="0" fontId="9" fillId="5" borderId="1" pivotButton="0" quotePrefix="0" xfId="0"/>
    <xf numFmtId="0" fontId="9" fillId="6" borderId="1" pivotButton="0" quotePrefix="0" xfId="0"/>
    <xf numFmtId="0" fontId="9" fillId="7" borderId="1" pivotButton="0" quotePrefix="0" xfId="0"/>
    <xf numFmtId="0" fontId="10" fillId="0" borderId="0" pivotButton="0" quotePrefix="0" xfId="0"/>
    <xf numFmtId="0" fontId="11" fillId="0" borderId="0" pivotButton="0" quotePrefix="0" xfId="0"/>
    <xf numFmtId="0" fontId="12" fillId="0" borderId="0" applyAlignment="1" pivotButton="0" quotePrefix="0" xfId="0">
      <alignment vertical="center"/>
    </xf>
    <xf numFmtId="0" fontId="13" fillId="6" borderId="1" applyAlignment="1" applyProtection="1" pivotButton="0" quotePrefix="0" xfId="0">
      <alignment horizontal="center" vertical="center"/>
      <protection locked="0" hidden="0"/>
    </xf>
    <xf numFmtId="0" fontId="3" fillId="0" borderId="0" applyAlignment="1" pivotButton="0" quotePrefix="0" xfId="0">
      <alignment vertical="center" wrapText="1"/>
    </xf>
    <xf numFmtId="0" fontId="12" fillId="0" borderId="0" pivotButton="0" quotePrefix="0" xfId="0"/>
    <xf numFmtId="0" fontId="0" fillId="4" borderId="1" applyAlignment="1" pivotButton="0" quotePrefix="0" xfId="0">
      <alignment horizontal="center"/>
    </xf>
    <xf numFmtId="0" fontId="3" fillId="0" borderId="0" pivotButton="0" quotePrefix="0" xfId="0"/>
    <xf numFmtId="0" fontId="1" fillId="2" borderId="1" applyAlignment="1" pivotButton="0" quotePrefix="0" xfId="0">
      <alignment horizontal="center" vertical="center" wrapText="1"/>
    </xf>
    <xf numFmtId="0" fontId="2" fillId="4" borderId="1" applyAlignment="1" pivotButton="0" quotePrefix="0" xfId="0">
      <alignment vertical="center" wrapText="1"/>
    </xf>
    <xf numFmtId="0" fontId="2" fillId="5" borderId="1" applyAlignment="1" applyProtection="1" pivotButton="0" quotePrefix="0" xfId="0">
      <alignment vertical="center" wrapText="1"/>
      <protection locked="0" hidden="0"/>
    </xf>
    <xf numFmtId="0" fontId="2" fillId="6" borderId="1" applyAlignment="1" applyProtection="1" pivotButton="0" quotePrefix="0" xfId="0">
      <alignment vertical="center" wrapText="1"/>
      <protection locked="0" hidden="0"/>
    </xf>
    <xf numFmtId="0" fontId="4" fillId="0" borderId="0" applyAlignment="1" pivotButton="0" quotePrefix="0" xfId="0">
      <alignment vertical="top" wrapText="1"/>
    </xf>
    <xf numFmtId="0" fontId="14" fillId="0" borderId="0" applyAlignment="1" pivotButton="0" quotePrefix="0" xfId="0">
      <alignment vertical="top" wrapText="1"/>
    </xf>
    <xf numFmtId="0" fontId="2" fillId="7" borderId="1" applyAlignment="1" pivotButton="0" quotePrefix="0" xfId="0">
      <alignment vertical="center" wrapText="1"/>
    </xf>
    <xf numFmtId="0" fontId="2" fillId="0" borderId="1" applyAlignment="1" pivotButton="0" quotePrefix="0" xfId="0">
      <alignment horizontal="center" vertical="center"/>
    </xf>
    <xf numFmtId="9" fontId="2" fillId="0" borderId="1" applyAlignment="1" pivotButton="0" quotePrefix="0" xfId="0">
      <alignment horizontal="center" vertical="center"/>
    </xf>
    <xf numFmtId="0" fontId="1" fillId="2" borderId="0" applyAlignment="1" pivotButton="0" quotePrefix="0" xfId="0">
      <alignment horizontal="center" wrapText="1"/>
    </xf>
    <xf numFmtId="0" fontId="1" fillId="2" borderId="0" pivotButton="0" quotePrefix="0" xfId="0"/>
    <xf numFmtId="0" fontId="2" fillId="0" borderId="0" pivotButton="0" quotePrefix="0" xfId="0"/>
  </cellXfs>
  <cellStyles count="1">
    <cellStyle name="Normal" xfId="0" builtinId="0" hidden="0"/>
  </cellStyles>
  <dxfs count="2">
    <dxf>
      <fill>
        <patternFill patternType="solid">
          <bgColor rgb="00FDF3F2"/>
        </patternFill>
      </fill>
    </dxf>
    <dxf>
      <fill>
        <patternFill patternType="solid">
          <bgColor rgb="00D9EAD3"/>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H40"/>
  <sheetViews>
    <sheetView showGridLines="0" workbookViewId="0">
      <selection activeCell="A1" sqref="A1"/>
    </sheetView>
  </sheetViews>
  <sheetFormatPr baseColWidth="8" defaultRowHeight="15"/>
  <cols>
    <col width="3" customWidth="1" min="1" max="1"/>
    <col width="19" customWidth="1" min="2" max="2"/>
    <col width="19" customWidth="1" min="3" max="3"/>
    <col width="19" customWidth="1" min="4" max="4"/>
    <col width="19" customWidth="1" min="5" max="5"/>
    <col width="19" customWidth="1" min="6" max="6"/>
    <col width="19" customWidth="1" min="7" max="7"/>
    <col width="12" customWidth="1" min="8" max="8"/>
  </cols>
  <sheetData>
    <row r="2">
      <c r="B2" s="1" t="inlineStr">
        <is>
          <t>Siwa Fragrances — product data</t>
        </is>
      </c>
    </row>
    <row r="3">
      <c r="B3" s="2" t="inlineStr">
        <is>
          <t>Three sheets to fill. Everything else is worked out from them.</t>
        </is>
      </c>
    </row>
    <row r="5" ht="22" customHeight="1">
      <c r="B5" s="3" t="inlineStr">
        <is>
          <t>What to fill, in order</t>
        </is>
      </c>
    </row>
    <row r="6">
      <c r="B6" s="4" t="inlineStr">
        <is>
          <t>Settings ......... 3 answers that apply to the whole catalogue. Do these first.</t>
        </is>
      </c>
    </row>
    <row r="7">
      <c r="B7" s="4" t="inlineStr">
        <is>
          <t>Products ......... one row per product. The only long sheet.</t>
        </is>
      </c>
    </row>
    <row r="8">
      <c r="B8" s="4" t="inlineStr">
        <is>
          <t>Heritage ......... 16 rows. Originals only — the story behind each one.</t>
        </is>
      </c>
    </row>
    <row r="9">
      <c r="B9" s="5" t="inlineStr"/>
    </row>
    <row r="10">
      <c r="B10" s="5" t="inlineStr">
        <is>
          <t>Auto-calculated .. nothing to do. Shows what the three sheets above produce.</t>
        </is>
      </c>
    </row>
    <row r="11">
      <c r="B11" s="4" t="inlineStr">
        <is>
          <t>Progress ......... nothing to do. Tracks how far along you are.</t>
        </is>
      </c>
    </row>
    <row r="12">
      <c r="B12" s="4" t="inlineStr">
        <is>
          <t>Lists ............ the source of every dropdown. Leave it alone.</t>
        </is>
      </c>
    </row>
    <row r="13">
      <c r="H13" s="6" t="inlineStr">
        <is>
          <t>Grey</t>
        </is>
      </c>
    </row>
    <row r="14" ht="22" customHeight="1">
      <c r="B14" s="3" t="inlineStr">
        <is>
          <t>Cell colours</t>
        </is>
      </c>
      <c r="H14" s="7" t="inlineStr">
        <is>
          <t>Cream</t>
        </is>
      </c>
    </row>
    <row r="15">
      <c r="B15" s="5" t="inlineStr">
        <is>
          <t>Grey    Already known from your store. Locked.</t>
        </is>
      </c>
      <c r="H15" s="8" t="inlineStr">
        <is>
          <t>White</t>
        </is>
      </c>
    </row>
    <row r="16">
      <c r="B16" s="5" t="inlineStr">
        <is>
          <t>Cream   Filled in for you as a suggestion. Read it, correct it if it is wrong.</t>
        </is>
      </c>
      <c r="H16" s="9" t="inlineStr">
        <is>
          <t>Green</t>
        </is>
      </c>
    </row>
    <row r="17">
      <c r="B17" s="5" t="inlineStr">
        <is>
          <t>White   Yours to write.</t>
        </is>
      </c>
    </row>
    <row r="18">
      <c r="B18" s="5" t="inlineStr">
        <is>
          <t>Green   Calculated. Do not retype it unless you want to override it.</t>
        </is>
      </c>
    </row>
    <row r="20" ht="22" customHeight="1">
      <c r="B20" s="3" t="inlineStr">
        <is>
          <t>Where the cream suggestions came from</t>
        </is>
      </c>
    </row>
    <row r="21">
      <c r="B21" s="5" t="inlineStr">
        <is>
          <t>Every product on the Inspired by line references a real designer fragrance, and that</t>
        </is>
      </c>
    </row>
    <row r="22">
      <c r="B22" s="5" t="inlineStr">
        <is>
          <t>fragrance's composition is public. Those pyramids were looked up on 13 Aug 2026 and</t>
        </is>
      </c>
    </row>
    <row r="23">
      <c r="B23" s="5" t="inlineStr">
        <is>
          <t>filled in for you. They describe the ORIGINAL, not your version — so read each one</t>
        </is>
      </c>
    </row>
    <row r="24">
      <c r="B24" s="5" t="inlineStr">
        <is>
          <t>and correct it to match what you actually blended.</t>
        </is>
      </c>
    </row>
    <row r="25">
      <c r="B25" s="5" t="inlineStr"/>
    </row>
    <row r="26">
      <c r="B26" s="5" t="inlineStr">
        <is>
          <t>One check on the method: Sundaze is the only product whose own description already</t>
        </is>
      </c>
    </row>
    <row r="27">
      <c r="B27" s="5" t="inlineStr">
        <is>
          <t>lists its notes. The researched pyramid for Armani Power Of You matched it exactly.</t>
        </is>
      </c>
    </row>
    <row r="29" ht="22" customHeight="1">
      <c r="B29" s="3" t="inlineStr">
        <is>
          <t>The one rule that cannot bend</t>
        </is>
      </c>
    </row>
    <row r="30">
      <c r="B30" s="5" t="inlineStr">
        <is>
          <t>Heritage — the oasis, the Siwan craft, the Arabic naming — belongs only to the 16</t>
        </is>
      </c>
    </row>
    <row r="31">
      <c r="B31" s="5" t="inlineStr">
        <is>
          <t>products Siwa makes itself. The 40 inspired-by products stay commercial.</t>
        </is>
      </c>
    </row>
    <row r="32">
      <c r="B32" s="5" t="inlineStr">
        <is>
          <t>That is why Heritage is a separate 16-row sheet and not a set of columns you could</t>
        </is>
      </c>
    </row>
    <row r="33">
      <c r="B33" s="5" t="inlineStr">
        <is>
          <t>fill in by accident.</t>
        </is>
      </c>
    </row>
    <row r="34">
      <c r="B34" s="5" t="inlineStr"/>
    </row>
    <row r="35">
      <c r="B35" s="5" t="inlineStr">
        <is>
          <t>Note that the four Layering products count as inspired-by: they reference Kayali.</t>
        </is>
      </c>
    </row>
    <row r="37" ht="22" customHeight="1">
      <c r="B37" s="3" t="inlineStr">
        <is>
          <t>What is NOT asked, because it is worked out</t>
        </is>
      </c>
    </row>
    <row r="38">
      <c r="B38" s="5" t="inlineStr">
        <is>
          <t>Register, concentration per product, season, product type, badge, launch date,</t>
        </is>
      </c>
    </row>
    <row r="39">
      <c r="B39" s="5" t="inlineStr">
        <is>
          <t>image alt text, card descriptors, tags, cross-sells, JSON-LD brand.</t>
        </is>
      </c>
    </row>
    <row r="40">
      <c r="B40" s="5" t="inlineStr">
        <is>
          <t>All of it is on the Auto-calculated sheet, with the formula visible.</t>
        </is>
      </c>
    </row>
  </sheetData>
  <sheetProtection selectLockedCells="0" selectUnlockedCells="0" sheet="1" objects="0" insertRows="1" insertHyperlinks="1" autoFilter="1" scenarios="0" formatColumns="1" deleteColumns="1" insertColumns="1" pivotTables="1" deleteRows="1" formatCells="1" formatRows="1" sort="1"/>
  <mergeCells count="34">
    <mergeCell ref="B2:G2"/>
    <mergeCell ref="B14:G14"/>
    <mergeCell ref="B17:G17"/>
    <mergeCell ref="B23:G23"/>
    <mergeCell ref="B8:G8"/>
    <mergeCell ref="B29:G29"/>
    <mergeCell ref="B38:G38"/>
    <mergeCell ref="B34:G34"/>
    <mergeCell ref="B10:G10"/>
    <mergeCell ref="B37:G37"/>
    <mergeCell ref="B9:G9"/>
    <mergeCell ref="B40:G40"/>
    <mergeCell ref="B30:G30"/>
    <mergeCell ref="B15:G15"/>
    <mergeCell ref="B33:G33"/>
    <mergeCell ref="B6:G6"/>
    <mergeCell ref="B24:G24"/>
    <mergeCell ref="B20:G20"/>
    <mergeCell ref="B5:G5"/>
    <mergeCell ref="B32:G32"/>
    <mergeCell ref="B35:G35"/>
    <mergeCell ref="B26:G26"/>
    <mergeCell ref="B7:G7"/>
    <mergeCell ref="B25:G25"/>
    <mergeCell ref="B3:G3"/>
    <mergeCell ref="B16:G16"/>
    <mergeCell ref="B22:G22"/>
    <mergeCell ref="B31:G31"/>
    <mergeCell ref="B27:G27"/>
    <mergeCell ref="B12:G12"/>
    <mergeCell ref="B18:G18"/>
    <mergeCell ref="B21:G21"/>
    <mergeCell ref="B39:G39"/>
    <mergeCell ref="B11:G1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2:D12"/>
  <sheetViews>
    <sheetView showGridLines="0" workbookViewId="0">
      <selection activeCell="A1" sqref="A1"/>
    </sheetView>
  </sheetViews>
  <sheetFormatPr baseColWidth="8" defaultRowHeight="15"/>
  <cols>
    <col width="3" customWidth="1" min="1" max="1"/>
    <col width="46" customWidth="1" min="2" max="2"/>
    <col width="26" customWidth="1" min="3" max="3"/>
    <col width="62" customWidth="1" min="4" max="4"/>
  </cols>
  <sheetData>
    <row r="2">
      <c r="B2" s="10" t="inlineStr">
        <is>
          <t>Catalogue-wide answers</t>
        </is>
      </c>
    </row>
    <row r="3">
      <c r="B3" s="11" t="inlineStr">
        <is>
          <t>Asked once here instead of 56 times on the Products sheet.</t>
        </is>
      </c>
    </row>
    <row r="5" ht="34" customHeight="1">
      <c r="B5" s="12" t="inlineStr">
        <is>
          <t>Concentration for the perfumes</t>
        </is>
      </c>
      <c r="C5" s="13" t="inlineStr"/>
      <c r="D5" s="14" t="inlineStr">
        <is>
          <t>Your bottles say EXTRAIT DE PARFUM. Your website says Eau de Parfum. Pick the true one — it drives the product type, the spec line and Google.</t>
        </is>
      </c>
    </row>
    <row r="7" ht="34" customHeight="1">
      <c r="B7" s="12" t="inlineStr">
        <is>
          <t>Reviews needed for a Best seller badge</t>
        </is>
      </c>
      <c r="C7" s="13" t="n">
        <v>20</v>
      </c>
      <c r="D7" s="14" t="inlineStr">
        <is>
          <t>A product with at least this many reviews gets the badge automatically.</t>
        </is>
      </c>
    </row>
    <row r="9" ht="34" customHeight="1">
      <c r="B9" s="12" t="inlineStr">
        <is>
          <t>Show the original's retail price?</t>
        </is>
      </c>
      <c r="C9" s="13" t="inlineStr">
        <is>
          <t>No</t>
        </is>
      </c>
      <c r="D9" s="14" t="inlineStr">
        <is>
          <t>Leave as No. Naming a designer price alongside yours is a legal question, not a design one, and it has not been answered yet.</t>
        </is>
      </c>
    </row>
    <row r="12" ht="34" customHeight="1">
      <c r="B12" s="15" t="inlineStr">
        <is>
          <t>Brand name published to Google</t>
        </is>
      </c>
      <c r="C12" s="16" t="inlineStr">
        <is>
          <t>Siwa Fragrances</t>
        </is>
      </c>
      <c r="D12" s="17" t="inlineStr">
        <is>
          <t>Fixed. Today Google is told the brand of 40 of your products is the designer house named in the vendor field — that is the single most damaging data problem on the store.</t>
        </is>
      </c>
    </row>
  </sheetData>
  <sheetProtection selectLockedCells="0" selectUnlockedCells="0" sheet="1" objects="0" insertRows="1" insertHyperlinks="1" autoFilter="1" scenarios="0" formatColumns="1" deleteColumns="1" insertColumns="1" pivotTables="1" deleteRows="1" formatCells="1" formatRows="1" sort="1"/>
  <dataValidations count="2">
    <dataValidation sqref="C5" showDropDown="0" showInputMessage="0" showErrorMessage="1" allowBlank="1" errorTitle="Not on the list" error="Pick a value from the dropdown." type="list">
      <formula1>=LIST_CONC</formula1>
    </dataValidation>
    <dataValidation sqref="C9" showDropDown="0" showInputMessage="0" showErrorMessage="1" allowBlank="1" errorTitle="Not on the list" error="Pick a value from the dropdown." type="list">
      <formula1>=LIST_YESNO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5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20" customWidth="1" min="2" max="2"/>
    <col width="12" customWidth="1" min="3" max="3"/>
    <col width="30" customWidth="1" min="4" max="4"/>
    <col width="46" customWidth="1" min="5" max="5"/>
    <col width="28" customWidth="1" min="6" max="6"/>
    <col width="28" customWidth="1" min="7" max="7"/>
    <col width="28" customWidth="1" min="8" max="8"/>
    <col width="15" customWidth="1" min="9" max="9"/>
    <col width="15" customWidth="1" min="10" max="10"/>
    <col width="15" customWidth="1" min="11" max="11"/>
    <col width="13" customWidth="1" min="12" max="12"/>
    <col width="13" customWidth="1" min="13" max="13"/>
    <col width="12" customWidth="1" min="14" max="14"/>
    <col width="13" customWidth="1" min="15" max="15"/>
    <col width="16" customWidth="1" min="16" max="16"/>
    <col width="40" customWidth="1" min="17" max="17"/>
    <col width="40" customWidth="1" min="18" max="18"/>
  </cols>
  <sheetData>
    <row r="1" ht="46" customHeight="1">
      <c r="A1" s="18" t="inlineStr">
        <is>
          <t>handle</t>
        </is>
      </c>
      <c r="B1" s="18" t="inlineStr">
        <is>
          <t>Product</t>
        </is>
      </c>
      <c r="C1" s="18" t="inlineStr">
        <is>
          <t>Line</t>
        </is>
      </c>
      <c r="D1" s="18" t="inlineStr">
        <is>
          <t>References</t>
        </is>
      </c>
      <c r="E1" s="18" t="inlineStr">
        <is>
          <t>The original's composition — work from this</t>
        </is>
      </c>
      <c r="F1" s="18" t="inlineStr">
        <is>
          <t>Top notes</t>
        </is>
      </c>
      <c r="G1" s="18" t="inlineStr">
        <is>
          <t>Heart notes</t>
        </is>
      </c>
      <c r="H1" s="18" t="inlineStr">
        <is>
          <t>Base notes</t>
        </is>
      </c>
      <c r="I1" s="18" t="inlineStr">
        <is>
          <t>Family 1</t>
        </is>
      </c>
      <c r="J1" s="18" t="inlineStr">
        <is>
          <t>Family 2</t>
        </is>
      </c>
      <c r="K1" s="18" t="inlineStr">
        <is>
          <t>Family 3</t>
        </is>
      </c>
      <c r="L1" s="18" t="inlineStr">
        <is>
          <t>Intensity</t>
        </is>
      </c>
      <c r="M1" s="18" t="inlineStr">
        <is>
          <t>Sillage</t>
        </is>
      </c>
      <c r="N1" s="18" t="inlineStr">
        <is>
          <t>Lasts (hours)</t>
        </is>
      </c>
      <c r="O1" s="18" t="inlineStr">
        <is>
          <t>Gender</t>
        </is>
      </c>
      <c r="P1" s="18" t="inlineStr">
        <is>
          <t>Arabic name</t>
        </is>
      </c>
      <c r="Q1" s="18" t="inlineStr">
        <is>
          <t>Description (English)</t>
        </is>
      </c>
      <c r="R1" s="18" t="inlineStr">
        <is>
          <t>Description (Arabic)</t>
        </is>
      </c>
    </row>
    <row r="2" ht="30" customHeight="1">
      <c r="A2" s="19" t="inlineStr">
        <is>
          <t>apple-pie</t>
        </is>
      </c>
      <c r="B2" s="19" t="inlineStr">
        <is>
          <t>Apple Pie</t>
        </is>
      </c>
      <c r="C2" s="19" t="inlineStr">
        <is>
          <t>Body care</t>
        </is>
      </c>
      <c r="D2" s="19" t="inlineStr">
        <is>
          <t>Siwa original — nothing to reference</t>
        </is>
      </c>
      <c r="E2" s="19" t="inlineStr">
        <is>
          <t>YOUR DESCRIPTION — Apple Pie A long-lasting body splash enriched with vitamin E, blending warm vanilla, delicate Apple, sweet praline, and rich cinnamon for a sensual, irresistible scent that lingers all day.</t>
        </is>
      </c>
      <c r="F2" s="20" t="n"/>
      <c r="G2" s="20" t="n"/>
      <c r="H2" s="20" t="n"/>
      <c r="I2" s="20" t="n"/>
      <c r="J2" s="20" t="n"/>
      <c r="K2" s="20" t="n"/>
      <c r="L2" s="21" t="n"/>
      <c r="M2" s="21" t="n"/>
      <c r="N2" s="21" t="n"/>
      <c r="O2" s="20" t="inlineStr"/>
      <c r="P2" s="21" t="n"/>
      <c r="Q2" s="21" t="n"/>
      <c r="R2" s="21" t="n"/>
    </row>
    <row r="3" ht="30" customHeight="1">
      <c r="A3" s="19" t="inlineStr">
        <is>
          <t>chocolate-creme</t>
        </is>
      </c>
      <c r="B3" s="19" t="inlineStr">
        <is>
          <t>Chocolate Creme</t>
        </is>
      </c>
      <c r="C3" s="19" t="inlineStr">
        <is>
          <t>Originals</t>
        </is>
      </c>
      <c r="D3" s="19" t="inlineStr">
        <is>
          <t>Siwa original — nothing to reference</t>
        </is>
      </c>
      <c r="E3" s="19" t="inlineStr">
        <is>
          <t>YOUR DESCRIPTION — Chocolate Creme Gourmand fragrance for men &amp; women. Notes: Chocolate, Vanilla, orange and woods.</t>
        </is>
      </c>
      <c r="F3" s="20" t="n"/>
      <c r="G3" s="20" t="n"/>
      <c r="H3" s="20" t="n"/>
      <c r="I3" s="20" t="n"/>
      <c r="J3" s="20" t="n"/>
      <c r="K3" s="20" t="n"/>
      <c r="L3" s="21" t="n"/>
      <c r="M3" s="21" t="n"/>
      <c r="N3" s="21" t="n"/>
      <c r="O3" s="20" t="inlineStr">
        <is>
          <t>Unisex</t>
        </is>
      </c>
      <c r="P3" s="21" t="n"/>
      <c r="Q3" s="21" t="n"/>
      <c r="R3" s="21" t="n"/>
    </row>
    <row r="4" ht="30" customHeight="1">
      <c r="A4" s="19" t="inlineStr">
        <is>
          <t>coffee-vanilla</t>
        </is>
      </c>
      <c r="B4" s="19" t="inlineStr">
        <is>
          <t>Coffee Vanilla</t>
        </is>
      </c>
      <c r="C4" s="19" t="inlineStr">
        <is>
          <t>Originals</t>
        </is>
      </c>
      <c r="D4" s="19" t="inlineStr">
        <is>
          <t>Siwa original — nothing to reference</t>
        </is>
      </c>
      <c r="E4" s="19" t="inlineStr">
        <is>
          <t>YOUR TEXT — Top: Coffee and Amaretto · Heart: Ice cream and Vanilla · Base: Brown Sugar and Vanilla</t>
        </is>
      </c>
      <c r="F4" s="20" t="inlineStr">
        <is>
          <t>Coffee and Amaretto</t>
        </is>
      </c>
      <c r="G4" s="20" t="inlineStr">
        <is>
          <t>Ice cream and Vanilla</t>
        </is>
      </c>
      <c r="H4" s="20" t="inlineStr">
        <is>
          <t>Brown Sugar and Vanilla</t>
        </is>
      </c>
      <c r="I4" s="20" t="n"/>
      <c r="J4" s="20" t="n"/>
      <c r="K4" s="20" t="n"/>
      <c r="L4" s="21" t="n"/>
      <c r="M4" s="21" t="n"/>
      <c r="N4" s="21" t="n"/>
      <c r="O4" s="20" t="inlineStr"/>
      <c r="P4" s="21" t="n"/>
      <c r="Q4" s="21" t="n"/>
      <c r="R4" s="21" t="n"/>
    </row>
    <row r="5" ht="30" customHeight="1">
      <c r="A5" s="19" t="inlineStr">
        <is>
          <t>gourmet</t>
        </is>
      </c>
      <c r="B5" s="19" t="inlineStr">
        <is>
          <t>Gourmet</t>
        </is>
      </c>
      <c r="C5" s="19" t="inlineStr">
        <is>
          <t>Originals</t>
        </is>
      </c>
      <c r="D5" s="19" t="inlineStr">
        <is>
          <t>Siwa original — nothing to reference</t>
        </is>
      </c>
      <c r="E5" s="19" t="inlineStr">
        <is>
          <t>YOUR DESCRIPTION — Gourmet Where Gourmand Scent meets buttery Warmth ! A warm croissant fresh from the oven, layered with sweet berries and rich blackcurrant, melts into the heart of toasted vanilla, gold butter and velvety Tonka bean base</t>
        </is>
      </c>
      <c r="F5" s="20" t="n"/>
      <c r="G5" s="20" t="n"/>
      <c r="H5" s="20" t="n"/>
      <c r="I5" s="20" t="n"/>
      <c r="J5" s="20" t="n"/>
      <c r="K5" s="20" t="n"/>
      <c r="L5" s="21" t="n"/>
      <c r="M5" s="21" t="n"/>
      <c r="N5" s="21" t="n"/>
      <c r="O5" s="20" t="inlineStr">
        <is>
          <t>Unisex</t>
        </is>
      </c>
      <c r="P5" s="21" t="n"/>
      <c r="Q5" s="21" t="n"/>
      <c r="R5" s="21" t="n"/>
    </row>
    <row r="6" ht="30" customHeight="1">
      <c r="A6" s="19" t="inlineStr">
        <is>
          <t>irresistible-vanilla</t>
        </is>
      </c>
      <c r="B6" s="19" t="inlineStr">
        <is>
          <t>Irresistible Vanilla</t>
        </is>
      </c>
      <c r="C6" s="19" t="inlineStr">
        <is>
          <t>Originals</t>
        </is>
      </c>
      <c r="D6" s="19" t="inlineStr">
        <is>
          <t>Siwa original — nothing to reference</t>
        </is>
      </c>
      <c r="E6" s="19" t="inlineStr">
        <is>
          <t>YOUR DESCRIPTION — Irresistible Vanilla Vanilla, sweet, powdery. Warm sweet blend of vanilla, sugar, cacao, tonka beans, red berries based on amber, musk and woods. Sexy and beautiful perfume perfect for dates and nights out. It is irresis</t>
        </is>
      </c>
      <c r="F6" s="20" t="n"/>
      <c r="G6" s="20" t="n"/>
      <c r="H6" s="20" t="n"/>
      <c r="I6" s="20" t="n"/>
      <c r="J6" s="20" t="n"/>
      <c r="K6" s="20" t="n"/>
      <c r="L6" s="21" t="n"/>
      <c r="M6" s="21" t="n"/>
      <c r="N6" s="21" t="n"/>
      <c r="O6" s="20" t="inlineStr"/>
      <c r="P6" s="21" t="n"/>
      <c r="Q6" s="21" t="n"/>
      <c r="R6" s="21" t="n"/>
    </row>
    <row r="7" ht="30" customHeight="1">
      <c r="A7" s="19" t="inlineStr">
        <is>
          <t>layering-30-ml-bundle</t>
        </is>
      </c>
      <c r="B7" s="19" t="inlineStr">
        <is>
          <t>Layering bundle</t>
        </is>
      </c>
      <c r="C7" s="19" t="inlineStr">
        <is>
          <t>Bundle</t>
        </is>
      </c>
      <c r="D7" s="19" t="inlineStr">
        <is>
          <t>Siwa original — nothing to reference</t>
        </is>
      </c>
      <c r="E7" s="19" t="inlineStr">
        <is>
          <t>YOUR DESCRIPTION — Pay less get more! Enjoy a bundle of our three top layering perfumes with 15%</t>
        </is>
      </c>
      <c r="F7" s="20" t="n"/>
      <c r="G7" s="20" t="n"/>
      <c r="H7" s="20" t="n"/>
      <c r="I7" s="20" t="n"/>
      <c r="J7" s="20" t="n"/>
      <c r="K7" s="20" t="n"/>
      <c r="L7" s="21" t="n"/>
      <c r="M7" s="21" t="n"/>
      <c r="N7" s="21" t="n"/>
      <c r="O7" s="20" t="inlineStr"/>
      <c r="P7" s="21" t="n"/>
      <c r="Q7" s="21" t="n"/>
      <c r="R7" s="21" t="n"/>
    </row>
    <row r="8" ht="30" customHeight="1">
      <c r="A8" s="19" t="inlineStr">
        <is>
          <t>marshmallow</t>
        </is>
      </c>
      <c r="B8" s="19" t="inlineStr">
        <is>
          <t>Marshmallow</t>
        </is>
      </c>
      <c r="C8" s="19" t="inlineStr">
        <is>
          <t>Body care</t>
        </is>
      </c>
      <c r="D8" s="19" t="inlineStr">
        <is>
          <t>Siwa original — nothing to reference</t>
        </is>
      </c>
      <c r="E8" s="19" t="inlineStr">
        <is>
          <t>YOUR DESCRIPTION — A long-lasting body splash enriched with vitamin E, sweet, warm blend of vanilla, sugar, and fluffy marshmallow.</t>
        </is>
      </c>
      <c r="F8" s="20" t="n"/>
      <c r="G8" s="20" t="n"/>
      <c r="H8" s="20" t="n"/>
      <c r="I8" s="20" t="n"/>
      <c r="J8" s="20" t="n"/>
      <c r="K8" s="20" t="n"/>
      <c r="L8" s="21" t="n"/>
      <c r="M8" s="21" t="n"/>
      <c r="N8" s="21" t="n"/>
      <c r="O8" s="20" t="inlineStr"/>
      <c r="P8" s="21" t="n"/>
      <c r="Q8" s="21" t="n"/>
      <c r="R8" s="21" t="n"/>
    </row>
    <row r="9" ht="30" customHeight="1">
      <c r="A9" s="19" t="inlineStr">
        <is>
          <t>marshmallow-bundle</t>
        </is>
      </c>
      <c r="B9" s="19" t="inlineStr">
        <is>
          <t>Marshmallow Bundle</t>
        </is>
      </c>
      <c r="C9" s="19" t="inlineStr">
        <is>
          <t>Bundle</t>
        </is>
      </c>
      <c r="D9" s="19" t="inlineStr">
        <is>
          <t>Siwa original — nothing to reference</t>
        </is>
      </c>
      <c r="E9" s="19" t="inlineStr">
        <is>
          <t>YOUR DESCRIPTION — Marshmallow Bundle Enjoy additional 10% off when you buy marshmallow bundle !</t>
        </is>
      </c>
      <c r="F9" s="20" t="n"/>
      <c r="G9" s="20" t="n"/>
      <c r="H9" s="20" t="n"/>
      <c r="I9" s="20" t="n"/>
      <c r="J9" s="20" t="n"/>
      <c r="K9" s="20" t="n"/>
      <c r="L9" s="21" t="n"/>
      <c r="M9" s="21" t="n"/>
      <c r="N9" s="21" t="n"/>
      <c r="O9" s="20" t="inlineStr"/>
      <c r="P9" s="21" t="n"/>
      <c r="Q9" s="21" t="n"/>
      <c r="R9" s="21" t="n"/>
    </row>
    <row r="10" ht="30" customHeight="1">
      <c r="A10" s="19" t="inlineStr">
        <is>
          <t>mawj</t>
        </is>
      </c>
      <c r="B10" s="19" t="inlineStr">
        <is>
          <t>Mawj</t>
        </is>
      </c>
      <c r="C10" s="19" t="inlineStr">
        <is>
          <t>Originals</t>
        </is>
      </c>
      <c r="D10" s="19" t="inlineStr">
        <is>
          <t>Siwa original — nothing to reference</t>
        </is>
      </c>
      <c r="E10" s="19" t="inlineStr">
        <is>
          <t xml:space="preserve">YOUR DESCRIPTION — Mawj Citrus , marine, woody Luxurios blend of sea notes, watery notes, ozonic notes, spicey notes, vanilla combined with bitter orange, pineapple, with hints of vetiver, violet, iris, jasmine with smooth touches of oud, </t>
        </is>
      </c>
      <c r="F10" s="20" t="n"/>
      <c r="G10" s="20" t="n"/>
      <c r="H10" s="20" t="n"/>
      <c r="I10" s="20" t="n"/>
      <c r="J10" s="20" t="n"/>
      <c r="K10" s="20" t="n"/>
      <c r="L10" s="21" t="n"/>
      <c r="M10" s="21" t="n"/>
      <c r="N10" s="21" t="n"/>
      <c r="O10" s="20" t="inlineStr">
        <is>
          <t>Masculine</t>
        </is>
      </c>
      <c r="P10" s="21" t="n"/>
      <c r="Q10" s="21" t="n"/>
      <c r="R10" s="21" t="n"/>
    </row>
    <row r="11" ht="30" customHeight="1">
      <c r="A11" s="19" t="inlineStr">
        <is>
          <t>pink-allure</t>
        </is>
      </c>
      <c r="B11" s="19" t="inlineStr">
        <is>
          <t>Pink Allure</t>
        </is>
      </c>
      <c r="C11" s="19" t="inlineStr">
        <is>
          <t>Originals</t>
        </is>
      </c>
      <c r="D11" s="19" t="inlineStr">
        <is>
          <t>Siwa original — nothing to reference</t>
        </is>
      </c>
      <c r="E11" s="19" t="inlineStr">
        <is>
          <t>YOUR TEXT — Top: Mandarin, Bergamot &amp; soft pink pepper touch · Heart: Soft rose, peony, powdery nuances · Base: Musk, smooth woods, hint of vanilla</t>
        </is>
      </c>
      <c r="F11" s="20" t="inlineStr">
        <is>
          <t>Mandarin, Bergamot &amp; soft pink pepper touch</t>
        </is>
      </c>
      <c r="G11" s="20" t="inlineStr">
        <is>
          <t>Soft rose, peony, powdery nuances</t>
        </is>
      </c>
      <c r="H11" s="20" t="inlineStr">
        <is>
          <t>Musk, smooth woods, hint of vanilla</t>
        </is>
      </c>
      <c r="I11" s="20" t="n"/>
      <c r="J11" s="20" t="n"/>
      <c r="K11" s="20" t="n"/>
      <c r="L11" s="21" t="n"/>
      <c r="M11" s="21" t="n"/>
      <c r="N11" s="21" t="n"/>
      <c r="O11" s="20" t="inlineStr"/>
      <c r="P11" s="21" t="n"/>
      <c r="Q11" s="21" t="n"/>
      <c r="R11" s="21" t="n"/>
    </row>
    <row r="12" ht="30" customHeight="1">
      <c r="A12" s="19" t="inlineStr">
        <is>
          <t>pink-arrogance</t>
        </is>
      </c>
      <c r="B12" s="19" t="inlineStr">
        <is>
          <t>Pink Arrogance</t>
        </is>
      </c>
      <c r="C12" s="19" t="inlineStr">
        <is>
          <t>Originals</t>
        </is>
      </c>
      <c r="D12" s="19" t="inlineStr">
        <is>
          <t>Siwa original — nothing to reference</t>
        </is>
      </c>
      <c r="E12" s="19" t="inlineStr">
        <is>
          <t>YOUR TEXT — Top: Orange blossom, neroli, almond · Heart: Jasmine, violet, apricot · Base: Musk, sandalwood</t>
        </is>
      </c>
      <c r="F12" s="20" t="inlineStr">
        <is>
          <t>Orange blossom, neroli, almond</t>
        </is>
      </c>
      <c r="G12" s="20" t="inlineStr">
        <is>
          <t>Jasmine, violet, apricot</t>
        </is>
      </c>
      <c r="H12" s="20" t="inlineStr">
        <is>
          <t>Musk, sandalwood</t>
        </is>
      </c>
      <c r="I12" s="20" t="n"/>
      <c r="J12" s="20" t="n"/>
      <c r="K12" s="20" t="n"/>
      <c r="L12" s="21" t="n"/>
      <c r="M12" s="21" t="n"/>
      <c r="N12" s="21" t="n"/>
      <c r="O12" s="20" t="inlineStr"/>
      <c r="P12" s="21" t="n"/>
      <c r="Q12" s="21" t="n"/>
      <c r="R12" s="21" t="n"/>
    </row>
    <row r="13" ht="30" customHeight="1">
      <c r="A13" s="19" t="inlineStr">
        <is>
          <t>silk-vanilla</t>
        </is>
      </c>
      <c r="B13" s="19" t="inlineStr">
        <is>
          <t>Silk Vanilla</t>
        </is>
      </c>
      <c r="C13" s="19" t="inlineStr">
        <is>
          <t>Body care</t>
        </is>
      </c>
      <c r="D13" s="19" t="inlineStr">
        <is>
          <t>Siwa original — nothing to reference</t>
        </is>
      </c>
      <c r="E13" s="19" t="inlineStr">
        <is>
          <t>YOUR DESCRIPTION — Silk Vanilla A long-lasting body splash enriched with vitamin E, blending warm vanilla, delicate orchid, sweet sugar, and rich amber for a sensual, irresistible scent that lingers all day.</t>
        </is>
      </c>
      <c r="F13" s="20" t="n"/>
      <c r="G13" s="20" t="n"/>
      <c r="H13" s="20" t="n"/>
      <c r="I13" s="20" t="n"/>
      <c r="J13" s="20" t="n"/>
      <c r="K13" s="20" t="n"/>
      <c r="L13" s="21" t="n"/>
      <c r="M13" s="21" t="n"/>
      <c r="N13" s="21" t="n"/>
      <c r="O13" s="20" t="inlineStr"/>
      <c r="P13" s="21" t="n"/>
      <c r="Q13" s="21" t="n"/>
      <c r="R13" s="21" t="n"/>
    </row>
    <row r="14" ht="30" customHeight="1">
      <c r="A14" s="19" t="inlineStr">
        <is>
          <t>silk-vanilla-body-lotion</t>
        </is>
      </c>
      <c r="B14" s="19" t="inlineStr">
        <is>
          <t>Silk Vanilla Body Lotion</t>
        </is>
      </c>
      <c r="C14" s="19" t="inlineStr">
        <is>
          <t>Body care</t>
        </is>
      </c>
      <c r="D14" s="19" t="inlineStr">
        <is>
          <t>Siwa original — nothing to reference</t>
        </is>
      </c>
      <c r="E14" s="19" t="inlineStr">
        <is>
          <t>YOUR DESCRIPTION — Silk Vanilla Body Lotion Lightweight lotion enriched with Vitamin E, Panthenol, Shea Butter &amp; Cocoa Butter. Deeply hydrates, absorbs quickly, and leaves skin silky smooth with a warm vanilla scent.</t>
        </is>
      </c>
      <c r="F14" s="20" t="n"/>
      <c r="G14" s="20" t="n"/>
      <c r="H14" s="20" t="n"/>
      <c r="I14" s="20" t="n"/>
      <c r="J14" s="20" t="n"/>
      <c r="K14" s="20" t="n"/>
      <c r="L14" s="21" t="n"/>
      <c r="M14" s="21" t="n"/>
      <c r="N14" s="21" t="n"/>
      <c r="O14" s="20" t="inlineStr"/>
      <c r="P14" s="21" t="n"/>
      <c r="Q14" s="21" t="n"/>
      <c r="R14" s="21" t="n"/>
    </row>
    <row r="15" ht="30" customHeight="1">
      <c r="A15" s="19" t="inlineStr">
        <is>
          <t>sweet-rum</t>
        </is>
      </c>
      <c r="B15" s="19" t="inlineStr">
        <is>
          <t>Sweet Rum</t>
        </is>
      </c>
      <c r="C15" s="19" t="inlineStr">
        <is>
          <t>Body care</t>
        </is>
      </c>
      <c r="D15" s="19" t="inlineStr">
        <is>
          <t>Siwa original — nothing to reference</t>
        </is>
      </c>
      <c r="E15" s="19" t="inlineStr">
        <is>
          <t>YOUR DESCRIPTION — Sweet Rum A long-lasting body splash enriched with vitamin E, blending warm vanilla, delicate dates, sweet praline, and rich cinnamon for a sensual, irresistible scent that lingers all night.</t>
        </is>
      </c>
      <c r="F15" s="20" t="n"/>
      <c r="G15" s="20" t="n"/>
      <c r="H15" s="20" t="n"/>
      <c r="I15" s="20" t="n"/>
      <c r="J15" s="20" t="n"/>
      <c r="K15" s="20" t="n"/>
      <c r="L15" s="21" t="n"/>
      <c r="M15" s="21" t="n"/>
      <c r="N15" s="21" t="n"/>
      <c r="O15" s="20" t="inlineStr"/>
      <c r="P15" s="21" t="n"/>
      <c r="Q15" s="21" t="n"/>
      <c r="R15" s="21" t="n"/>
    </row>
    <row r="16" ht="30" customHeight="1">
      <c r="A16" s="19" t="inlineStr">
        <is>
          <t>vanilla-91</t>
        </is>
      </c>
      <c r="B16" s="19" t="inlineStr">
        <is>
          <t>Vanilla 91</t>
        </is>
      </c>
      <c r="C16" s="19" t="inlineStr">
        <is>
          <t>Body care</t>
        </is>
      </c>
      <c r="D16" s="19" t="inlineStr">
        <is>
          <t>Siwa original — nothing to reference</t>
        </is>
      </c>
      <c r="E16" s="19" t="inlineStr">
        <is>
          <t>YOUR DESCRIPTION — Vanilla 91 A long-lasting body splash enriched with vitamin E, b lending creamy vanilla, soft jasmine petals and glowing sandalwood for a warm, comforting fragrance that feels sweet, cozy, and effortlessly elegant. Limit</t>
        </is>
      </c>
      <c r="F16" s="20" t="n"/>
      <c r="G16" s="20" t="n"/>
      <c r="H16" s="20" t="n"/>
      <c r="I16" s="20" t="n"/>
      <c r="J16" s="20" t="n"/>
      <c r="K16" s="20" t="n"/>
      <c r="L16" s="21" t="n"/>
      <c r="M16" s="21" t="n"/>
      <c r="N16" s="21" t="n"/>
      <c r="O16" s="20" t="inlineStr"/>
      <c r="P16" s="21" t="n"/>
      <c r="Q16" s="21" t="n"/>
      <c r="R16" s="21" t="n"/>
    </row>
    <row r="17" ht="30" customHeight="1">
      <c r="A17" s="19" t="inlineStr">
        <is>
          <t>vanilla-bundle</t>
        </is>
      </c>
      <c r="B17" s="19" t="inlineStr">
        <is>
          <t>Vanilla Bundle</t>
        </is>
      </c>
      <c r="C17" s="19" t="inlineStr">
        <is>
          <t>Bundle</t>
        </is>
      </c>
      <c r="D17" s="19" t="inlineStr">
        <is>
          <t>Siwa original — nothing to reference</t>
        </is>
      </c>
      <c r="E17" s="19" t="inlineStr">
        <is>
          <t>YOUR DESCRIPTION — Vanilla Bundle – Your Everyday Glow in Luxury.. Sink into the warm, creamy essence of Silk Vanilla. This luxurious bundle features: Layering Vanilla Perfume – a rich, long-lasting scent that wraps you in sensual comfort.</t>
        </is>
      </c>
      <c r="F17" s="20" t="n"/>
      <c r="G17" s="20" t="n"/>
      <c r="H17" s="20" t="n"/>
      <c r="I17" s="20" t="n"/>
      <c r="J17" s="20" t="n"/>
      <c r="K17" s="20" t="n"/>
      <c r="L17" s="21" t="n"/>
      <c r="M17" s="21" t="n"/>
      <c r="N17" s="21" t="n"/>
      <c r="O17" s="20" t="inlineStr"/>
      <c r="P17" s="21" t="n"/>
      <c r="Q17" s="21" t="n"/>
      <c r="R17" s="21" t="n"/>
    </row>
    <row r="18" ht="30" customHeight="1">
      <c r="A18" s="19" t="inlineStr">
        <is>
          <t>absolute-drunk</t>
        </is>
      </c>
      <c r="B18" s="19" t="inlineStr">
        <is>
          <t>Absolute Drunk</t>
        </is>
      </c>
      <c r="C18" s="19" t="inlineStr">
        <is>
          <t>Inspired by</t>
        </is>
      </c>
      <c r="D18" s="19" t="inlineStr">
        <is>
          <t>Sospiro — Il Padrino</t>
        </is>
      </c>
      <c r="E18" s="19" t="inlineStr">
        <is>
          <t>THE ORIGINAL — Top: Black Currant, Rum, Amaretto, Bergamot · Heart: Amber, Patchouli, Sandalwood · Base: Vanilla, Siam Benzoin, Labdanum
YOUR TEXT — Top: Boozy accord with black currant · Heart: Rich patchouli, dark woods, and oriental depth · Base: Vanilla, amber warmth, and smooth woody accords</t>
        </is>
      </c>
      <c r="F18" s="20" t="inlineStr">
        <is>
          <t>Black Currant, Rum, Amaretto, Bergamot</t>
        </is>
      </c>
      <c r="G18" s="20" t="inlineStr">
        <is>
          <t>Amber, Patchouli, Sandalwood</t>
        </is>
      </c>
      <c r="H18" s="20" t="inlineStr">
        <is>
          <t>Vanilla, Siam Benzoin, Labdanum</t>
        </is>
      </c>
      <c r="I18" s="20" t="inlineStr">
        <is>
          <t>Amber</t>
        </is>
      </c>
      <c r="J18" s="20" t="inlineStr">
        <is>
          <t>Woody</t>
        </is>
      </c>
      <c r="K18" s="20" t="inlineStr">
        <is>
          <t>Sweet</t>
        </is>
      </c>
      <c r="L18" s="21" t="n"/>
      <c r="M18" s="21" t="n"/>
      <c r="N18" s="21" t="n"/>
      <c r="O18" s="20" t="inlineStr"/>
      <c r="P18" s="21" t="n"/>
      <c r="Q18" s="21" t="n"/>
      <c r="R18" s="21" t="n"/>
    </row>
    <row r="19" ht="30" customHeight="1">
      <c r="A19" s="19" t="inlineStr">
        <is>
          <t>alluring-rose</t>
        </is>
      </c>
      <c r="B19" s="19" t="inlineStr">
        <is>
          <t>Alluring Rose</t>
        </is>
      </c>
      <c r="C19" s="19" t="inlineStr">
        <is>
          <t>Inspired by</t>
        </is>
      </c>
      <c r="D19" s="19" t="inlineStr">
        <is>
          <t>Parfums de Marly — Delina La Rosee</t>
        </is>
      </c>
      <c r="E19" s="19" t="inlineStr">
        <is>
          <t>THE ORIGINAL — Top: Lychee, Pear, Bergamot, Pink Pepper · Heart: Turkish Rose, Peony, Watery Notes, Floral Notes · Base: White Musk, Woody Notes, Vetiver
YOUR DESCRIPTION — Floral fruity aquatic fragrance. Beautiful blend of rose, peony, lychee, musk, pear, vetiver with watery &amp; floral notes. Gorgeous wearable &amp; potent scent for daily use</t>
        </is>
      </c>
      <c r="F19" s="20" t="inlineStr">
        <is>
          <t>Lychee, Pear, Bergamot, Pink Pepper</t>
        </is>
      </c>
      <c r="G19" s="20" t="inlineStr">
        <is>
          <t>Turkish Rose, Peony, Watery Notes, Floral Notes</t>
        </is>
      </c>
      <c r="H19" s="20" t="inlineStr">
        <is>
          <t>White Musk, Woody Notes, Vetiver</t>
        </is>
      </c>
      <c r="I19" s="20" t="inlineStr">
        <is>
          <t>Floral</t>
        </is>
      </c>
      <c r="J19" s="20" t="inlineStr">
        <is>
          <t>Fruity</t>
        </is>
      </c>
      <c r="K19" s="20" t="inlineStr">
        <is>
          <t>Rose</t>
        </is>
      </c>
      <c r="L19" s="21" t="n"/>
      <c r="M19" s="21" t="n"/>
      <c r="N19" s="21" t="n"/>
      <c r="O19" s="20" t="inlineStr">
        <is>
          <t>Feminine</t>
        </is>
      </c>
      <c r="P19" s="21" t="n"/>
      <c r="Q19" s="21" t="n"/>
      <c r="R19" s="21" t="n"/>
    </row>
    <row r="20" ht="30" customHeight="1">
      <c r="A20" s="19" t="inlineStr">
        <is>
          <t>aurableu</t>
        </is>
      </c>
      <c r="B20" s="19" t="inlineStr">
        <is>
          <t>Aurableu</t>
        </is>
      </c>
      <c r="C20" s="19" t="inlineStr">
        <is>
          <t>Inspired by</t>
        </is>
      </c>
      <c r="D20" s="19" t="inlineStr">
        <is>
          <t>Louis Vuitton — Symphony</t>
        </is>
      </c>
      <c r="E20" s="19" t="inlineStr">
        <is>
          <t>THE ORIGINAL — Top: Ginger, Grapefruit, Bergamot · Heart: Fruity Notes, Aromatic Notes · Base: Woody Notes, Musk
YOUR TEXT — Top: Bright citrus blend with vibrant freshness · Heart: Soft aromatic nuances and refined floral layers · Base: Clean musky undertones with subtle woody freshness and ginger</t>
        </is>
      </c>
      <c r="F20" s="20" t="inlineStr">
        <is>
          <t>Ginger, Grapefruit, Bergamot</t>
        </is>
      </c>
      <c r="G20" s="20" t="inlineStr">
        <is>
          <t>Fruity Notes, Aromatic Notes</t>
        </is>
      </c>
      <c r="H20" s="20" t="inlineStr">
        <is>
          <t>Woody Notes, Musk</t>
        </is>
      </c>
      <c r="I20" s="20" t="inlineStr">
        <is>
          <t>Citrus</t>
        </is>
      </c>
      <c r="J20" s="20" t="inlineStr">
        <is>
          <t>Fresh</t>
        </is>
      </c>
      <c r="K20" s="20" t="inlineStr">
        <is>
          <t>Aromatic</t>
        </is>
      </c>
      <c r="L20" s="21" t="n"/>
      <c r="M20" s="21" t="n"/>
      <c r="N20" s="21" t="n"/>
      <c r="O20" s="20" t="inlineStr"/>
      <c r="P20" s="21" t="n"/>
      <c r="Q20" s="21" t="n"/>
      <c r="R20" s="21" t="n"/>
    </row>
    <row r="21" ht="30" customHeight="1">
      <c r="A21" s="19" t="inlineStr">
        <is>
          <t>bare-glow</t>
        </is>
      </c>
      <c r="B21" s="19" t="inlineStr">
        <is>
          <t>Bare Glow</t>
        </is>
      </c>
      <c r="C21" s="19" t="inlineStr">
        <is>
          <t>Inspired by</t>
        </is>
      </c>
      <c r="D21" s="19" t="inlineStr">
        <is>
          <t>Burberry — Goddess</t>
        </is>
      </c>
      <c r="E21" s="19" t="inlineStr">
        <is>
          <t>THE ORIGINAL — Top: Vanilla, Lavender, Cacao, Ginger · Heart: Vanilla Caviar · Base: Vanilla Absolute
YOUR DESCRIPTION — A velvety cloud of vanilla in all its forms pure, absolute, and caviar, gently layered with calming lavender and deep cacao. Soft warmth that melts into your skin and stays close, like a gentle embrace.</t>
        </is>
      </c>
      <c r="F21" s="20" t="inlineStr">
        <is>
          <t>Vanilla, Lavender, Cacao, Ginger</t>
        </is>
      </c>
      <c r="G21" s="20" t="inlineStr">
        <is>
          <t>Vanilla Caviar</t>
        </is>
      </c>
      <c r="H21" s="20" t="inlineStr">
        <is>
          <t>Vanilla Absolute</t>
        </is>
      </c>
      <c r="I21" s="20" t="inlineStr">
        <is>
          <t>Vanilla</t>
        </is>
      </c>
      <c r="J21" s="20" t="inlineStr">
        <is>
          <t>Gourmand</t>
        </is>
      </c>
      <c r="K21" s="20" t="inlineStr">
        <is>
          <t>Sweet</t>
        </is>
      </c>
      <c r="L21" s="21" t="n"/>
      <c r="M21" s="21" t="n"/>
      <c r="N21" s="21" t="n"/>
      <c r="O21" s="20" t="inlineStr"/>
      <c r="P21" s="21" t="n"/>
      <c r="Q21" s="21" t="n"/>
      <c r="R21" s="21" t="n"/>
    </row>
    <row r="22" ht="30" customHeight="1">
      <c r="A22" s="19" t="inlineStr">
        <is>
          <t>belle-riche</t>
        </is>
      </c>
      <c r="B22" s="19" t="inlineStr">
        <is>
          <t>Belle Riche</t>
        </is>
      </c>
      <c r="C22" s="19" t="inlineStr">
        <is>
          <t>Inspired by</t>
        </is>
      </c>
      <c r="D22" s="19" t="inlineStr">
        <is>
          <t>Jean Paul Gaultier — La Belle Le Parfum</t>
        </is>
      </c>
      <c r="E22" s="19" t="inlineStr">
        <is>
          <t>THE ORIGINAL — Top: Pear · Heart: Tonka Bean, Jasmine · Base: Vanilla
YOUR DESCRIPTION — Belle Riche A seductive blend of juicy pear, rich vanilla, and creamy tonka bean, wrapped in warm jasmine and a hint of amber. A deep, addictive fragrance that captures the essence of richness &amp; softness.</t>
        </is>
      </c>
      <c r="F22" s="20" t="inlineStr">
        <is>
          <t>Pear</t>
        </is>
      </c>
      <c r="G22" s="20" t="inlineStr">
        <is>
          <t>Tonka Bean, Jasmine</t>
        </is>
      </c>
      <c r="H22" s="20" t="inlineStr">
        <is>
          <t>Vanilla</t>
        </is>
      </c>
      <c r="I22" s="20" t="inlineStr">
        <is>
          <t>Amber</t>
        </is>
      </c>
      <c r="J22" s="20" t="inlineStr">
        <is>
          <t>Vanilla</t>
        </is>
      </c>
      <c r="K22" s="20" t="inlineStr">
        <is>
          <t>Sweet</t>
        </is>
      </c>
      <c r="L22" s="21" t="n"/>
      <c r="M22" s="21" t="n"/>
      <c r="N22" s="21" t="n"/>
      <c r="O22" s="20" t="inlineStr"/>
      <c r="P22" s="21" t="n"/>
      <c r="Q22" s="21" t="n"/>
      <c r="R22" s="21" t="n"/>
    </row>
    <row r="23" ht="30" customHeight="1">
      <c r="A23" s="19" t="inlineStr">
        <is>
          <t>bleu-exclusive</t>
        </is>
      </c>
      <c r="B23" s="19" t="inlineStr">
        <is>
          <t>Bleu Exclusive</t>
        </is>
      </c>
      <c r="C23" s="19" t="inlineStr">
        <is>
          <t>Inspired by</t>
        </is>
      </c>
      <c r="D23" s="19" t="inlineStr">
        <is>
          <t>Chanel — Bleu de Chanel L'Exclusif</t>
        </is>
      </c>
      <c r="E23" s="19" t="inlineStr">
        <is>
          <t>THE ORIGINAL — Base: Sandalwood, Labdanum, Amber, Woody Notes
⚠ Chanel does not publish a full pyramid for this one; only the woody-amber-labdanum-sandalwood signature is stated.
YOUR TEXT — Top: Soft citrus freshness with aromatic nuances · Heart: Creamy sandalwood blended with warm leathery labdanum · Base: Deep woody amber accords enriched with smooth vanilla and refined woods</t>
        </is>
      </c>
      <c r="F23" s="20" t="inlineStr">
        <is>
          <t>Soft citrus freshness with aromatic nuances</t>
        </is>
      </c>
      <c r="G23" s="20" t="inlineStr">
        <is>
          <t>Creamy sandalwood blended with warm leathery labdanum</t>
        </is>
      </c>
      <c r="H23" s="20" t="inlineStr">
        <is>
          <t>Sandalwood, Labdanum, Amber, Woody Notes</t>
        </is>
      </c>
      <c r="I23" s="20" t="inlineStr">
        <is>
          <t>Woody</t>
        </is>
      </c>
      <c r="J23" s="20" t="inlineStr">
        <is>
          <t>Aromatic</t>
        </is>
      </c>
      <c r="K23" s="20" t="inlineStr">
        <is>
          <t>Amber</t>
        </is>
      </c>
      <c r="L23" s="21" t="n"/>
      <c r="M23" s="21" t="n"/>
      <c r="N23" s="21" t="n"/>
      <c r="O23" s="20" t="inlineStr"/>
      <c r="P23" s="21" t="n"/>
      <c r="Q23" s="21" t="n"/>
      <c r="R23" s="21" t="n"/>
    </row>
    <row r="24" ht="30" customHeight="1">
      <c r="A24" s="19" t="inlineStr">
        <is>
          <t>bleu-intense</t>
        </is>
      </c>
      <c r="B24" s="19" t="inlineStr">
        <is>
          <t>Bleu Intense</t>
        </is>
      </c>
      <c r="C24" s="19" t="inlineStr">
        <is>
          <t>Inspired by</t>
        </is>
      </c>
      <c r="D24" s="19" t="inlineStr">
        <is>
          <t>Chanel — Bleu de Chanel Parfum</t>
        </is>
      </c>
      <c r="E24" s="19" t="inlineStr">
        <is>
          <t>THE ORIGINAL — Top: Lemon Zest, Bergamot, Mint, Artemisia · Heart: Lavender, Pineapple, Geranium, Green Notes · Base: Sandalwood, Cedar, Amberwood, Iso E Super, Tonka Bean
YOUR TEXT — Top: Bergamot, Lemon, Mint · Heart: Lavender, Pineapple · Base: Cedar wood, Sandalwood, Amber, Tonka Bean</t>
        </is>
      </c>
      <c r="F24" s="20" t="inlineStr">
        <is>
          <t>Lemon Zest, Bergamot, Mint, Artemisia</t>
        </is>
      </c>
      <c r="G24" s="20" t="inlineStr">
        <is>
          <t>Lavender, Pineapple, Geranium, Green Notes</t>
        </is>
      </c>
      <c r="H24" s="20" t="inlineStr">
        <is>
          <t>Sandalwood, Cedar, Amberwood, Iso E Super, Tonka Bean</t>
        </is>
      </c>
      <c r="I24" s="20" t="inlineStr">
        <is>
          <t>Woody</t>
        </is>
      </c>
      <c r="J24" s="20" t="inlineStr">
        <is>
          <t>Aromatic</t>
        </is>
      </c>
      <c r="K24" s="20" t="inlineStr">
        <is>
          <t>Citrus</t>
        </is>
      </c>
      <c r="L24" s="21" t="n"/>
      <c r="M24" s="21" t="n"/>
      <c r="N24" s="21" t="n"/>
      <c r="O24" s="20" t="inlineStr"/>
      <c r="P24" s="21" t="n"/>
      <c r="Q24" s="21" t="n"/>
      <c r="R24" s="21" t="n"/>
    </row>
    <row r="25" ht="30" customHeight="1">
      <c r="A25" s="19" t="inlineStr">
        <is>
          <t>boujee-blush</t>
        </is>
      </c>
      <c r="B25" s="19" t="inlineStr">
        <is>
          <t>Boujee Blush</t>
        </is>
      </c>
      <c r="C25" s="19" t="inlineStr">
        <is>
          <t>Inspired by</t>
        </is>
      </c>
      <c r="D25" s="19" t="inlineStr">
        <is>
          <t>Kayali — Yum Boujee Marshmallow | 81</t>
        </is>
      </c>
      <c r="E25" s="19" t="inlineStr">
        <is>
          <t>THE ORIGINAL — Top: Freesia, Italian Lemon, Nectarine Blossom, Apple · Heart: Marshmallow, Strawberry, Coconut, Orange Blossom · Base: Whipped Cream, Sugar, Vanilla, Musk, Raspberry, Ambroxan
YOUR DESCRIPTION — Boujee Blush Yum powdery, sweet, fruity Notes: Marshmallow, strawberry, whipped cream, vanilla, coconut and musk.</t>
        </is>
      </c>
      <c r="F25" s="20" t="inlineStr">
        <is>
          <t>Freesia, Italian Lemon, Nectarine Blossom, Apple</t>
        </is>
      </c>
      <c r="G25" s="20" t="inlineStr">
        <is>
          <t>Marshmallow, Strawberry, Coconut, Orange Blossom</t>
        </is>
      </c>
      <c r="H25" s="20" t="inlineStr">
        <is>
          <t>Whipped Cream, Sugar, Vanilla, Musk, Raspberry, Ambroxan</t>
        </is>
      </c>
      <c r="I25" s="20" t="inlineStr">
        <is>
          <t>Gourmand</t>
        </is>
      </c>
      <c r="J25" s="20" t="inlineStr">
        <is>
          <t>Fruity</t>
        </is>
      </c>
      <c r="K25" s="20" t="inlineStr">
        <is>
          <t>Floral</t>
        </is>
      </c>
      <c r="L25" s="21" t="n"/>
      <c r="M25" s="21" t="n"/>
      <c r="N25" s="21" t="n"/>
      <c r="O25" s="20" t="inlineStr">
        <is>
          <t>Feminine</t>
        </is>
      </c>
      <c r="P25" s="21" t="n"/>
      <c r="Q25" s="21" t="n"/>
      <c r="R25" s="21" t="n"/>
    </row>
    <row r="26" ht="30" customHeight="1">
      <c r="A26" s="19" t="inlineStr">
        <is>
          <t>caramel-vanigliato</t>
        </is>
      </c>
      <c r="B26" s="19" t="inlineStr">
        <is>
          <t>Caramel vanigliato</t>
        </is>
      </c>
      <c r="C26" s="19" t="inlineStr">
        <is>
          <t>Inspired by</t>
        </is>
      </c>
      <c r="D26" s="19" t="inlineStr">
        <is>
          <t>Giardini di Toscana — Bianco Latte</t>
        </is>
      </c>
      <c r="E26" s="19" t="inlineStr">
        <is>
          <t>THE ORIGINAL — Top: Caramel · Heart: Coumarin, Honey · Base: Vanilla, White Musk
YOUR TEXT — Top: Caramel · Heart: Coumarin and Honey · Base: Vanilla and White Musk</t>
        </is>
      </c>
      <c r="F26" s="20" t="inlineStr">
        <is>
          <t>Caramel</t>
        </is>
      </c>
      <c r="G26" s="20" t="inlineStr">
        <is>
          <t>Coumarin, Honey</t>
        </is>
      </c>
      <c r="H26" s="20" t="inlineStr">
        <is>
          <t>Vanilla, White Musk</t>
        </is>
      </c>
      <c r="I26" s="20" t="inlineStr">
        <is>
          <t>Gourmand</t>
        </is>
      </c>
      <c r="J26" s="20" t="inlineStr">
        <is>
          <t>Amber</t>
        </is>
      </c>
      <c r="K26" s="20" t="inlineStr">
        <is>
          <t>Sweet</t>
        </is>
      </c>
      <c r="L26" s="21" t="n"/>
      <c r="M26" s="21" t="n"/>
      <c r="N26" s="21" t="n"/>
      <c r="O26" s="20" t="inlineStr"/>
      <c r="P26" s="21" t="n"/>
      <c r="Q26" s="21" t="n"/>
      <c r="R26" s="21" t="n"/>
    </row>
    <row r="27" ht="30" customHeight="1">
      <c r="A27" s="19" t="inlineStr">
        <is>
          <t>carnal-trail</t>
        </is>
      </c>
      <c r="B27" s="19" t="inlineStr">
        <is>
          <t>Carnal Trail</t>
        </is>
      </c>
      <c r="C27" s="19" t="inlineStr">
        <is>
          <t>Inspired by</t>
        </is>
      </c>
      <c r="D27" s="19" t="inlineStr">
        <is>
          <t>Initio Parfums Prives — Side Effect</t>
        </is>
      </c>
      <c r="E27" s="19" t="inlineStr">
        <is>
          <t>THE ORIGINAL — Top: Cinnamon, Rum · Heart: Tobacco, Saffron · Base: Sandalwood, Hedione
YOUR DESCRIPTION — Carnal Trail Vanilla, Rum, Tobacco Irresistible boozy blend of rum, vanilla, tobacco and cinnamon. Drop dead sexy perfume gives a deep, sexy unforgettable trail. If you want to smell the sexiest person in this world Wear</t>
        </is>
      </c>
      <c r="F27" s="20" t="inlineStr">
        <is>
          <t>Cinnamon, Rum</t>
        </is>
      </c>
      <c r="G27" s="20" t="inlineStr">
        <is>
          <t>Tobacco, Saffron</t>
        </is>
      </c>
      <c r="H27" s="20" t="inlineStr">
        <is>
          <t>Sandalwood, Hedione</t>
        </is>
      </c>
      <c r="I27" s="20" t="inlineStr">
        <is>
          <t>Warm Spicy</t>
        </is>
      </c>
      <c r="J27" s="20" t="inlineStr">
        <is>
          <t>Woody</t>
        </is>
      </c>
      <c r="K27" s="20" t="inlineStr">
        <is>
          <t>Sweet</t>
        </is>
      </c>
      <c r="L27" s="21" t="n"/>
      <c r="M27" s="21" t="n"/>
      <c r="N27" s="21" t="n"/>
      <c r="O27" s="20" t="inlineStr"/>
      <c r="P27" s="21" t="n"/>
      <c r="Q27" s="21" t="n"/>
      <c r="R27" s="21" t="n"/>
    </row>
    <row r="28" ht="30" customHeight="1">
      <c r="A28" s="19" t="inlineStr">
        <is>
          <t>citrine</t>
        </is>
      </c>
      <c r="B28" s="19" t="inlineStr">
        <is>
          <t>Citrine</t>
        </is>
      </c>
      <c r="C28" s="19" t="inlineStr">
        <is>
          <t>Inspired by</t>
        </is>
      </c>
      <c r="D28" s="19" t="inlineStr">
        <is>
          <t>Bvlgari — Le Gemme Tygar</t>
        </is>
      </c>
      <c r="E28" s="19" t="inlineStr">
        <is>
          <t>THE ORIGINAL — Top: Grapefruit · Heart: Ginger, Ambrette · Base: Ambroxan, Musk, Vetiver, Patchouli
YOUR TEXT — Top: Bright and zesty grapefruit opens the scent with a burst of citrus energy, perfect for a fresh start to your day · Heart: The spice of ginger blends with soft ambrette, creating a warm, aromatic core that adds depth and character</t>
        </is>
      </c>
      <c r="F28" s="20" t="inlineStr">
        <is>
          <t>Grapefruit</t>
        </is>
      </c>
      <c r="G28" s="20" t="inlineStr">
        <is>
          <t>Ginger, Ambrette</t>
        </is>
      </c>
      <c r="H28" s="20" t="inlineStr">
        <is>
          <t>Ambroxan, Musk, Vetiver, Patchouli</t>
        </is>
      </c>
      <c r="I28" s="20" t="inlineStr">
        <is>
          <t>Citrus</t>
        </is>
      </c>
      <c r="J28" s="20" t="inlineStr">
        <is>
          <t>Aromatic</t>
        </is>
      </c>
      <c r="K28" s="20" t="inlineStr">
        <is>
          <t>Musky</t>
        </is>
      </c>
      <c r="L28" s="21" t="n"/>
      <c r="M28" s="21" t="n"/>
      <c r="N28" s="21" t="n"/>
      <c r="O28" s="20" t="inlineStr">
        <is>
          <t>Masculine</t>
        </is>
      </c>
      <c r="P28" s="21" t="n"/>
      <c r="Q28" s="21" t="n"/>
      <c r="R28" s="21" t="n"/>
    </row>
    <row r="29" ht="30" customHeight="1">
      <c r="A29" s="19" t="inlineStr">
        <is>
          <t>coco-woods</t>
        </is>
      </c>
      <c r="B29" s="19" t="inlineStr">
        <is>
          <t>Coco Woods</t>
        </is>
      </c>
      <c r="C29" s="19" t="inlineStr">
        <is>
          <t>Inspired by</t>
        </is>
      </c>
      <c r="D29" s="19" t="inlineStr">
        <is>
          <t>Matiere Premiere — Vanilla Powder</t>
        </is>
      </c>
      <c r="E29" s="19" t="inlineStr">
        <is>
          <t>THE ORIGINAL — Top: Coconut Powder, Heliotrope · Heart: Madagascar Vanilla · Base: Vanilla Absolute, White Musk, Palo Santo, Coconut, Lactones
YOUR DESCRIPTION — Coco Woods Notes: Vanilla, musk, coconut powder, palo santo</t>
        </is>
      </c>
      <c r="F29" s="20" t="inlineStr">
        <is>
          <t>Coconut Powder, Heliotrope</t>
        </is>
      </c>
      <c r="G29" s="20" t="inlineStr">
        <is>
          <t>Madagascar Vanilla</t>
        </is>
      </c>
      <c r="H29" s="20" t="inlineStr">
        <is>
          <t>Vanilla Absolute, White Musk, Palo Santo, Coconut, Lactones</t>
        </is>
      </c>
      <c r="I29" s="20" t="inlineStr">
        <is>
          <t>Vanilla</t>
        </is>
      </c>
      <c r="J29" s="20" t="inlineStr">
        <is>
          <t>Powdery</t>
        </is>
      </c>
      <c r="K29" s="20" t="inlineStr">
        <is>
          <t>Coconut</t>
        </is>
      </c>
      <c r="L29" s="21" t="n"/>
      <c r="M29" s="21" t="n"/>
      <c r="N29" s="21" t="n"/>
      <c r="O29" s="20" t="inlineStr"/>
      <c r="P29" s="21" t="n"/>
      <c r="Q29" s="21" t="n"/>
      <c r="R29" s="21" t="n"/>
    </row>
    <row r="30" ht="30" customHeight="1">
      <c r="A30" s="19" t="inlineStr">
        <is>
          <t>drunk-gold</t>
        </is>
      </c>
      <c r="B30" s="19" t="inlineStr">
        <is>
          <t>Drunk Gold</t>
        </is>
      </c>
      <c r="C30" s="19" t="inlineStr">
        <is>
          <t>Inspired by</t>
        </is>
      </c>
      <c r="D30" s="19" t="inlineStr">
        <is>
          <t>By Kilian — Angels' Share</t>
        </is>
      </c>
      <c r="E30" s="19" t="inlineStr">
        <is>
          <t>THE ORIGINAL — Top: Cognac, Cinnamon · Heart: Oak, Tonka Bean · Base: Praline, Vanilla, Sandalwood
YOUR DESCRIPTION — Drunk Gold Liquid gold. Intoxication in every drop Woody, sweet, fruity Notes: Cognac, liquor, raspberry, praline, tonka</t>
        </is>
      </c>
      <c r="F30" s="20" t="inlineStr">
        <is>
          <t>Cognac, Cinnamon</t>
        </is>
      </c>
      <c r="G30" s="20" t="inlineStr">
        <is>
          <t>Oak, Tonka Bean</t>
        </is>
      </c>
      <c r="H30" s="20" t="inlineStr">
        <is>
          <t>Praline, Vanilla, Sandalwood</t>
        </is>
      </c>
      <c r="I30" s="20" t="inlineStr">
        <is>
          <t>Woody</t>
        </is>
      </c>
      <c r="J30" s="20" t="inlineStr">
        <is>
          <t>Warm Spicy</t>
        </is>
      </c>
      <c r="K30" s="20" t="inlineStr">
        <is>
          <t>Sweet</t>
        </is>
      </c>
      <c r="L30" s="21" t="n"/>
      <c r="M30" s="21" t="n"/>
      <c r="N30" s="21" t="n"/>
      <c r="O30" s="20" t="inlineStr"/>
      <c r="P30" s="21" t="n"/>
      <c r="Q30" s="21" t="n"/>
      <c r="R30" s="21" t="n"/>
    </row>
    <row r="31" ht="30" customHeight="1">
      <c r="A31" s="19" t="inlineStr">
        <is>
          <t>hibiscusex</t>
        </is>
      </c>
      <c r="B31" s="19" t="inlineStr">
        <is>
          <t>Hibiscusex</t>
        </is>
      </c>
      <c r="C31" s="19" t="inlineStr">
        <is>
          <t>Inspired by</t>
        </is>
      </c>
      <c r="D31" s="19" t="inlineStr">
        <is>
          <t>Maison Crivelli — Hibiscus Mahajad</t>
        </is>
      </c>
      <c r="E31" s="19" t="inlineStr">
        <is>
          <t>THE ORIGINAL — Top: Spearmint, Cinnamon · Heart: Damask Rose, Hibiscus, Leather · Base: Vanilla, Ambrette
YOUR DESCRIPTION — Hibiscusex Vanilla, floral, rose In a classy hotel bar, amidst the soft glow of candlelight and the whispers of conversations, a couple shared a moment of intimacy on their elegant date night. As they savored their drink</t>
        </is>
      </c>
      <c r="F31" s="20" t="inlineStr">
        <is>
          <t>Spearmint, Cinnamon</t>
        </is>
      </c>
      <c r="G31" s="20" t="inlineStr">
        <is>
          <t>Damask Rose, Hibiscus, Leather</t>
        </is>
      </c>
      <c r="H31" s="20" t="inlineStr">
        <is>
          <t>Vanilla, Ambrette</t>
        </is>
      </c>
      <c r="I31" s="20" t="inlineStr">
        <is>
          <t>Floral</t>
        </is>
      </c>
      <c r="J31" s="20" t="inlineStr">
        <is>
          <t>Sweet</t>
        </is>
      </c>
      <c r="K31" s="20" t="inlineStr">
        <is>
          <t>Rose</t>
        </is>
      </c>
      <c r="L31" s="21" t="n"/>
      <c r="M31" s="21" t="n"/>
      <c r="N31" s="21" t="n"/>
      <c r="O31" s="20" t="inlineStr"/>
      <c r="P31" s="21" t="n"/>
      <c r="Q31" s="21" t="n"/>
      <c r="R31" s="21" t="n"/>
    </row>
    <row r="32" ht="30" customHeight="1">
      <c r="A32" s="19" t="inlineStr">
        <is>
          <t>hot-male</t>
        </is>
      </c>
      <c r="B32" s="19" t="inlineStr">
        <is>
          <t>Hot Male</t>
        </is>
      </c>
      <c r="C32" s="19" t="inlineStr">
        <is>
          <t>Inspired by</t>
        </is>
      </c>
      <c r="D32" s="19" t="inlineStr">
        <is>
          <t>Giorgio Armani — Emporio Armani Stronger With You Intensely</t>
        </is>
      </c>
      <c r="E32" s="19" t="inlineStr">
        <is>
          <t>THE ORIGINAL — Top: Pink Pepper, Juniper, Violet · Heart: Toffee, Cinnamon, Lavender, Sage · Base: Vanilla, Tonka Bean, Amber, Suede
YOUR TEXT — Top: Pink Pepper, Juniper and Violet · Heart: Toffee, Cinnamon, Lavender and Sage · Base: Vanilla, Amber, Tonka Bean and Suede</t>
        </is>
      </c>
      <c r="F32" s="20" t="inlineStr">
        <is>
          <t>Pink Pepper, Juniper, Violet</t>
        </is>
      </c>
      <c r="G32" s="20" t="inlineStr">
        <is>
          <t>Toffee, Cinnamon, Lavender, Sage</t>
        </is>
      </c>
      <c r="H32" s="20" t="inlineStr">
        <is>
          <t>Vanilla, Tonka Bean, Amber, Suede</t>
        </is>
      </c>
      <c r="I32" s="20" t="inlineStr">
        <is>
          <t>Amber</t>
        </is>
      </c>
      <c r="J32" s="20" t="inlineStr">
        <is>
          <t>Sweet</t>
        </is>
      </c>
      <c r="K32" s="20" t="inlineStr">
        <is>
          <t>Gourmand</t>
        </is>
      </c>
      <c r="L32" s="21" t="n"/>
      <c r="M32" s="21" t="n"/>
      <c r="N32" s="21" t="n"/>
      <c r="O32" s="20" t="inlineStr">
        <is>
          <t>Masculine</t>
        </is>
      </c>
      <c r="P32" s="21" t="n"/>
      <c r="Q32" s="21" t="n"/>
      <c r="R32" s="21" t="n"/>
    </row>
    <row r="33" ht="30" customHeight="1">
      <c r="A33" s="19" t="inlineStr">
        <is>
          <t>hot-vanilla</t>
        </is>
      </c>
      <c r="B33" s="19" t="inlineStr">
        <is>
          <t>Hot Vanilla</t>
        </is>
      </c>
      <c r="C33" s="19" t="inlineStr">
        <is>
          <t>Inspired by</t>
        </is>
      </c>
      <c r="D33" s="19" t="inlineStr">
        <is>
          <t>Parfums de Marly — Althair</t>
        </is>
      </c>
      <c r="E33" s="19" t="inlineStr">
        <is>
          <t xml:space="preserve">THE ORIGINAL — Top: Cinnamon, Orange Blossom, Cardamom, Bergamot · Heart: Bourbon Vanilla, Elemi · Base: Praline, Musk, Ambroxan, Tonka Bean, Guaiac Wood, Candied Almond
YOUR DESCRIPTION — Hot Vanilla Sweet Warm spicy Indulge your senses in the enchanting embrace of our warm perfume. A harmonious blend of cardamom and cinnamon unfolds like a comforting hug, while the richness of vanilla and praline adds a </t>
        </is>
      </c>
      <c r="F33" s="20" t="inlineStr">
        <is>
          <t>Cinnamon, Orange Blossom, Cardamom, Bergamot</t>
        </is>
      </c>
      <c r="G33" s="20" t="inlineStr">
        <is>
          <t>Bourbon Vanilla, Elemi</t>
        </is>
      </c>
      <c r="H33" s="20" t="inlineStr">
        <is>
          <t>Praline, Musk, Ambroxan, Tonka Bean, Guaiac Wood, Candied Almond</t>
        </is>
      </c>
      <c r="I33" s="20" t="inlineStr">
        <is>
          <t>Vanilla</t>
        </is>
      </c>
      <c r="J33" s="20" t="inlineStr">
        <is>
          <t>Amber</t>
        </is>
      </c>
      <c r="K33" s="20" t="inlineStr">
        <is>
          <t>Sweet</t>
        </is>
      </c>
      <c r="L33" s="21" t="n"/>
      <c r="M33" s="21" t="n"/>
      <c r="N33" s="21" t="n"/>
      <c r="O33" s="20" t="inlineStr"/>
      <c r="P33" s="21" t="n"/>
      <c r="Q33" s="21" t="n"/>
      <c r="R33" s="21" t="n"/>
    </row>
    <row r="34" ht="30" customHeight="1">
      <c r="A34" s="19" t="inlineStr">
        <is>
          <t>insane-pineapple</t>
        </is>
      </c>
      <c r="B34" s="19" t="inlineStr">
        <is>
          <t>Insane Pineapple</t>
        </is>
      </c>
      <c r="C34" s="19" t="inlineStr">
        <is>
          <t>Inspired by</t>
        </is>
      </c>
      <c r="D34" s="19" t="inlineStr">
        <is>
          <t>Nishane — Hacivat</t>
        </is>
      </c>
      <c r="E34" s="19" t="inlineStr">
        <is>
          <t>THE ORIGINAL — Top: Pineapple, Grapefruit, Bergamot · Heart: Cedar, Patchouli, Jasmine · Base: Oakmoss, Woody Notes
YOUR DESCRIPTION — Insane Pineapple Citrus, Woody, mossy Unique fresh blend of pineapple, grapefruit, bergamot, patchouli based on moss and woods. Strong summer perfume gives the feeling of sitting on the beach on a sunny day while drinkin</t>
        </is>
      </c>
      <c r="F34" s="20" t="inlineStr">
        <is>
          <t>Pineapple, Grapefruit, Bergamot</t>
        </is>
      </c>
      <c r="G34" s="20" t="inlineStr">
        <is>
          <t>Cedar, Patchouli, Jasmine</t>
        </is>
      </c>
      <c r="H34" s="20" t="inlineStr">
        <is>
          <t>Oakmoss, Woody Notes</t>
        </is>
      </c>
      <c r="I34" s="20" t="inlineStr">
        <is>
          <t>Chypre</t>
        </is>
      </c>
      <c r="J34" s="20" t="inlineStr">
        <is>
          <t>Fruity</t>
        </is>
      </c>
      <c r="K34" s="20" t="inlineStr">
        <is>
          <t>Woody</t>
        </is>
      </c>
      <c r="L34" s="21" t="n"/>
      <c r="M34" s="21" t="n"/>
      <c r="N34" s="21" t="n"/>
      <c r="O34" s="20" t="inlineStr">
        <is>
          <t>Masculine</t>
        </is>
      </c>
      <c r="P34" s="21" t="n"/>
      <c r="Q34" s="21" t="n"/>
      <c r="R34" s="21" t="n"/>
    </row>
    <row r="35" ht="30" customHeight="1">
      <c r="A35" s="19" t="inlineStr">
        <is>
          <t>iris-elixir</t>
        </is>
      </c>
      <c r="B35" s="19" t="inlineStr">
        <is>
          <t>Iris elixir</t>
        </is>
      </c>
      <c r="C35" s="19" t="inlineStr">
        <is>
          <t>Inspired by</t>
        </is>
      </c>
      <c r="D35" s="19" t="inlineStr">
        <is>
          <t>Prada — L'Homme Intense</t>
        </is>
      </c>
      <c r="E35" s="19" t="inlineStr">
        <is>
          <t>THE ORIGINAL — Top: Iris · Heart: Amber, Patchouli · Base: Tonka Bean, Leather, Sandalwood
YOUR TEXT — Top: Iris · Heart: Amber and Patchouli · Base: Tonka Bean, Leather and Sandalwood</t>
        </is>
      </c>
      <c r="F35" s="20" t="inlineStr">
        <is>
          <t>Iris</t>
        </is>
      </c>
      <c r="G35" s="20" t="inlineStr">
        <is>
          <t>Amber, Patchouli</t>
        </is>
      </c>
      <c r="H35" s="20" t="inlineStr">
        <is>
          <t>Tonka Bean, Leather, Sandalwood</t>
        </is>
      </c>
      <c r="I35" s="20" t="inlineStr">
        <is>
          <t>Powdery</t>
        </is>
      </c>
      <c r="J35" s="20" t="inlineStr">
        <is>
          <t>Amber</t>
        </is>
      </c>
      <c r="K35" s="20" t="inlineStr">
        <is>
          <t>Woody</t>
        </is>
      </c>
      <c r="L35" s="21" t="n"/>
      <c r="M35" s="21" t="n"/>
      <c r="N35" s="21" t="n"/>
      <c r="O35" s="20" t="inlineStr">
        <is>
          <t>Masculine</t>
        </is>
      </c>
      <c r="P35" s="21" t="n"/>
      <c r="Q35" s="21" t="n"/>
      <c r="R35" s="21" t="n"/>
    </row>
    <row r="36" ht="30" customHeight="1">
      <c r="A36" s="19" t="inlineStr">
        <is>
          <t>lady-killer</t>
        </is>
      </c>
      <c r="B36" s="19" t="inlineStr">
        <is>
          <t>Lady killer</t>
        </is>
      </c>
      <c r="C36" s="19" t="inlineStr">
        <is>
          <t>Inspired by</t>
        </is>
      </c>
      <c r="D36" s="19" t="inlineStr">
        <is>
          <t>Parfums de Marly — Layton</t>
        </is>
      </c>
      <c r="E36" s="19" t="inlineStr">
        <is>
          <t xml:space="preserve">THE ORIGINAL — Top: Apple, Lavender, Bergamot, Mandarin Orange · Heart: Geranium, Violet, Jasmine · Base: Vanilla, Cardamom, Sandalwood, Pepper, Guaiac Wood, Patchouli, Coumarin
YOUR DESCRIPTION — Lady Killer Vanilla, warm, spicy. Sexy &amp; hot blend of vanilla green apple, cardamom, lavender, pepper, jasmine, patchouli and woods. Ideal for special occasions and dates. Its like a date night in a fancy restaurant Its </t>
        </is>
      </c>
      <c r="F36" s="20" t="inlineStr">
        <is>
          <t>Apple, Lavender, Bergamot, Mandarin Orange</t>
        </is>
      </c>
      <c r="G36" s="20" t="inlineStr">
        <is>
          <t>Geranium, Violet, Jasmine</t>
        </is>
      </c>
      <c r="H36" s="20" t="inlineStr">
        <is>
          <t>Vanilla, Cardamom, Sandalwood, Pepper, Guaiac Wood, Patchouli, Coumarin</t>
        </is>
      </c>
      <c r="I36" s="20" t="inlineStr">
        <is>
          <t>Amber</t>
        </is>
      </c>
      <c r="J36" s="20" t="inlineStr">
        <is>
          <t>Floral</t>
        </is>
      </c>
      <c r="K36" s="20" t="inlineStr">
        <is>
          <t>Vanilla</t>
        </is>
      </c>
      <c r="L36" s="21" t="n"/>
      <c r="M36" s="21" t="n"/>
      <c r="N36" s="21" t="n"/>
      <c r="O36" s="20" t="inlineStr">
        <is>
          <t>Masculine</t>
        </is>
      </c>
      <c r="P36" s="21" t="n"/>
      <c r="Q36" s="21" t="n"/>
      <c r="R36" s="21" t="n"/>
    </row>
    <row r="37" ht="30" customHeight="1">
      <c r="A37" s="19" t="inlineStr">
        <is>
          <t>lagoon-flair</t>
        </is>
      </c>
      <c r="B37" s="19" t="inlineStr">
        <is>
          <t>Lagoon Flair</t>
        </is>
      </c>
      <c r="C37" s="19" t="inlineStr">
        <is>
          <t>Inspired by</t>
        </is>
      </c>
      <c r="D37" s="19" t="inlineStr">
        <is>
          <t>Jean Paul Gaultier — Le Beau Le Parfum</t>
        </is>
      </c>
      <c r="E37" s="19" t="inlineStr">
        <is>
          <t>THE ORIGINAL — Top: Pineapple, Iris, Ginger, Cypress · Heart: Coconut, Woody Notes · Base: Tonka Bean, Sandalwood, Amber, Ambergris
YOUR DESCRIPTION — Lagoon Flair Sweet, woody Notes: Coconut, Pineapple, Tonka, Woods and Iris.</t>
        </is>
      </c>
      <c r="F37" s="20" t="inlineStr">
        <is>
          <t>Pineapple, Iris, Ginger, Cypress</t>
        </is>
      </c>
      <c r="G37" s="20" t="inlineStr">
        <is>
          <t>Coconut, Woody Notes</t>
        </is>
      </c>
      <c r="H37" s="20" t="inlineStr">
        <is>
          <t>Tonka Bean, Sandalwood, Amber, Ambergris</t>
        </is>
      </c>
      <c r="I37" s="20" t="inlineStr">
        <is>
          <t>Woody</t>
        </is>
      </c>
      <c r="J37" s="20" t="inlineStr">
        <is>
          <t>Amber</t>
        </is>
      </c>
      <c r="K37" s="20" t="inlineStr">
        <is>
          <t>Coconut</t>
        </is>
      </c>
      <c r="L37" s="21" t="n"/>
      <c r="M37" s="21" t="n"/>
      <c r="N37" s="21" t="n"/>
      <c r="O37" s="20" t="inlineStr">
        <is>
          <t>Masculine</t>
        </is>
      </c>
      <c r="P37" s="21" t="n"/>
      <c r="Q37" s="21" t="n"/>
      <c r="R37" s="21" t="n"/>
    </row>
    <row r="38" ht="30" customHeight="1">
      <c r="A38" s="19" t="inlineStr">
        <is>
          <t>layering-apple</t>
        </is>
      </c>
      <c r="B38" s="19" t="inlineStr">
        <is>
          <t>Layering Apple</t>
        </is>
      </c>
      <c r="C38" s="19" t="inlineStr">
        <is>
          <t>Layering</t>
        </is>
      </c>
      <c r="D38" s="19" t="inlineStr">
        <is>
          <t>Kayali — Eden Juicy Apple | 01</t>
        </is>
      </c>
      <c r="E38" s="19" t="inlineStr">
        <is>
          <t>THE ORIGINAL — Top: Red Apple, Blackcurrant, Pink Grapefruit, Lychee · Heart: Wild Berries, Raspberry Blossom, Jasmine, Rose Centifolia · Base: Vanilla Flower, Amber, Moss, Musk
YOUR TEXT — Top: Red Apple, Litchi, Black Currant · Heart: Wild Berries, Raspberry Bloom, May Rose and Jasmine · Base: Sugar, Musk, Vanilla</t>
        </is>
      </c>
      <c r="F38" s="20" t="inlineStr">
        <is>
          <t>Red Apple, Blackcurrant, Pink Grapefruit, Lychee</t>
        </is>
      </c>
      <c r="G38" s="20" t="inlineStr">
        <is>
          <t>Wild Berries, Raspberry Blossom, Jasmine, Rose Centifolia</t>
        </is>
      </c>
      <c r="H38" s="20" t="inlineStr">
        <is>
          <t>Vanilla Flower, Amber, Moss, Musk</t>
        </is>
      </c>
      <c r="I38" s="20" t="inlineStr">
        <is>
          <t>Fruity</t>
        </is>
      </c>
      <c r="J38" s="20" t="inlineStr">
        <is>
          <t>Floral</t>
        </is>
      </c>
      <c r="K38" s="20" t="inlineStr">
        <is>
          <t>Gourmand</t>
        </is>
      </c>
      <c r="L38" s="21" t="n"/>
      <c r="M38" s="21" t="n"/>
      <c r="N38" s="21" t="n"/>
      <c r="O38" s="20" t="inlineStr">
        <is>
          <t>Feminine</t>
        </is>
      </c>
      <c r="P38" s="21" t="n"/>
      <c r="Q38" s="21" t="n"/>
      <c r="R38" s="21" t="n"/>
    </row>
    <row r="39" ht="30" customHeight="1">
      <c r="A39" s="19" t="inlineStr">
        <is>
          <t>layering-lychee</t>
        </is>
      </c>
      <c r="B39" s="19" t="inlineStr">
        <is>
          <t>Layering Lychee</t>
        </is>
      </c>
      <c r="C39" s="19" t="inlineStr">
        <is>
          <t>Layering</t>
        </is>
      </c>
      <c r="D39" s="19" t="inlineStr">
        <is>
          <t>Kayali — Eden Sparkling Lychee | 39</t>
        </is>
      </c>
      <c r="E39" s="19" t="inlineStr">
        <is>
          <t>THE ORIGINAL — Top: Black Currant, Lychee, Italian Lemon, Red Apple · Heart: Candied Violet, Rose Damascena, Jasmine Sambac · Base: Sandalwood, Amber, Cedar, Musk, Vanilla Absolute
YOUR DESCRIPTION — Layering Lychee Sweet, Fruity, vanilla Introducing our summer feminine perfume, where juicy lychee takes center stage, dancing with notes of vanilla, black currant, and a sprinkle of sugar. A delightful concoction that c</t>
        </is>
      </c>
      <c r="F39" s="20" t="inlineStr">
        <is>
          <t>Black Currant, Lychee, Italian Lemon, Red Apple</t>
        </is>
      </c>
      <c r="G39" s="20" t="inlineStr">
        <is>
          <t>Candied Violet, Rose Damascena, Jasmine Sambac</t>
        </is>
      </c>
      <c r="H39" s="20" t="inlineStr">
        <is>
          <t>Sandalwood, Amber, Cedar, Musk, Vanilla Absolute</t>
        </is>
      </c>
      <c r="I39" s="20" t="inlineStr">
        <is>
          <t>Fruity</t>
        </is>
      </c>
      <c r="J39" s="20" t="inlineStr">
        <is>
          <t>Floral</t>
        </is>
      </c>
      <c r="K39" s="20" t="inlineStr">
        <is>
          <t>Sweet</t>
        </is>
      </c>
      <c r="L39" s="21" t="n"/>
      <c r="M39" s="21" t="n"/>
      <c r="N39" s="21" t="n"/>
      <c r="O39" s="20" t="inlineStr">
        <is>
          <t>Feminine</t>
        </is>
      </c>
      <c r="P39" s="21" t="n"/>
      <c r="Q39" s="21" t="n"/>
      <c r="R39" s="21" t="n"/>
    </row>
    <row r="40" ht="30" customHeight="1">
      <c r="A40" s="19" t="inlineStr">
        <is>
          <t>layering-pistachio</t>
        </is>
      </c>
      <c r="B40" s="19" t="inlineStr">
        <is>
          <t>Layering Pistachio</t>
        </is>
      </c>
      <c r="C40" s="19" t="inlineStr">
        <is>
          <t>Layering</t>
        </is>
      </c>
      <c r="D40" s="19" t="inlineStr">
        <is>
          <t>Kayali — Yum Pistachio Gelato | 33</t>
        </is>
      </c>
      <c r="E40" s="19" t="inlineStr">
        <is>
          <t>THE ORIGINAL — Top: Pistachio, Bergamot, Hazelnut, Rum, Cardamom · Heart: Lily-of-the-Valley, Pear, Jasmine, Peony, Geranium, White Peach, Raspberry · Base: Whipped Cream, Marshmallow, Cotton Candy, Tonka Bean, Sandalwood, Cedar, Cacao
YOUR DESCRIPTION — Layering Pistachio Sweet, woody, nutty Delicious blend captivates the senses with its irresistible and edible notes including pistachio, whipped cream, roasted hazelnut, sweet rum, fluffy marshmallow, and fizzy cotton ca</t>
        </is>
      </c>
      <c r="F40" s="20" t="inlineStr">
        <is>
          <t>Pistachio, Bergamot, Hazelnut, Rum, Cardamom</t>
        </is>
      </c>
      <c r="G40" s="20" t="inlineStr">
        <is>
          <t>Lily-of-the-Valley, Pear, Jasmine, Peony, Geranium, White Peach, Raspberry</t>
        </is>
      </c>
      <c r="H40" s="20" t="inlineStr">
        <is>
          <t>Whipped Cream, Marshmallow, Cotton Candy, Tonka Bean, Sandalwood, Cedar, Cacao</t>
        </is>
      </c>
      <c r="I40" s="20" t="inlineStr">
        <is>
          <t>Gourmand</t>
        </is>
      </c>
      <c r="J40" s="20" t="inlineStr">
        <is>
          <t>Sweet</t>
        </is>
      </c>
      <c r="K40" s="20" t="inlineStr">
        <is>
          <t>Nutty</t>
        </is>
      </c>
      <c r="L40" s="21" t="n"/>
      <c r="M40" s="21" t="n"/>
      <c r="N40" s="21" t="n"/>
      <c r="O40" s="20" t="inlineStr"/>
      <c r="P40" s="21" t="n"/>
      <c r="Q40" s="21" t="n"/>
      <c r="R40" s="21" t="n"/>
    </row>
    <row r="41" ht="30" customHeight="1">
      <c r="A41" s="19" t="inlineStr">
        <is>
          <t>layering-vanilla</t>
        </is>
      </c>
      <c r="B41" s="19" t="inlineStr">
        <is>
          <t>Layering Vanilla</t>
        </is>
      </c>
      <c r="C41" s="19" t="inlineStr">
        <is>
          <t>Layering</t>
        </is>
      </c>
      <c r="D41" s="19" t="inlineStr">
        <is>
          <t>Kayali — Vanilla | 28</t>
        </is>
      </c>
      <c r="E41" s="19" t="inlineStr">
        <is>
          <t>THE ORIGINAL — Top: Vanilla Orchid, Jasmine · Heart: Brown Sugar, Tonka Bean · Base: Amber, Amberwood, Musk, Patchouli
YOUR DESCRIPTION — Layering Vanilla Sweet, amber, vanilla Amber Vanilla fragrance captivates the senses with its creamy long lasting components of jasmine, vanilla orchid, tonka bean, sugar, vanilla, amberwood and Musk. Sensual vanilla per</t>
        </is>
      </c>
      <c r="F41" s="20" t="inlineStr">
        <is>
          <t>Vanilla Orchid, Jasmine</t>
        </is>
      </c>
      <c r="G41" s="20" t="inlineStr">
        <is>
          <t>Brown Sugar, Tonka Bean</t>
        </is>
      </c>
      <c r="H41" s="20" t="inlineStr">
        <is>
          <t>Amber, Amberwood, Musk, Patchouli</t>
        </is>
      </c>
      <c r="I41" s="20" t="inlineStr">
        <is>
          <t>Vanilla</t>
        </is>
      </c>
      <c r="J41" s="20" t="inlineStr">
        <is>
          <t>Amber</t>
        </is>
      </c>
      <c r="K41" s="20" t="inlineStr">
        <is>
          <t>Sweet</t>
        </is>
      </c>
      <c r="L41" s="21" t="n"/>
      <c r="M41" s="21" t="n"/>
      <c r="N41" s="21" t="n"/>
      <c r="O41" s="20" t="inlineStr"/>
      <c r="P41" s="21" t="n"/>
      <c r="Q41" s="21" t="n"/>
      <c r="R41" s="21" t="n"/>
    </row>
    <row r="42" ht="30" customHeight="1">
      <c r="A42" s="19" t="inlineStr">
        <is>
          <t>libre-desire</t>
        </is>
      </c>
      <c r="B42" s="19" t="inlineStr">
        <is>
          <t>Libre Desire</t>
        </is>
      </c>
      <c r="C42" s="19" t="inlineStr">
        <is>
          <t>Inspired by</t>
        </is>
      </c>
      <c r="D42" s="19" t="inlineStr">
        <is>
          <t>Yves Saint Laurent — Libre Intense</t>
        </is>
      </c>
      <c r="E42" s="19" t="inlineStr">
        <is>
          <t>THE ORIGINAL — Top: Lavender, Mandarin Orange, Bergamot · Heart: Lavender, Orange Blossom, Jasmine Sambac, Orchid · Base: Madagascar Vanilla, Tonka Bean, Ambergris, Vetiver
YOUR DESCRIPTION — Libre Desire A bold and sensual fusion of warm vanilla, radiant orange blossom, and rich honey, with a touch of lavender and tonka bean for elegance. A rich, long-lasting scent that mirrors the allure of Beautiful Lady.</t>
        </is>
      </c>
      <c r="F42" s="20" t="inlineStr">
        <is>
          <t>Lavender, Mandarin Orange, Bergamot</t>
        </is>
      </c>
      <c r="G42" s="20" t="inlineStr">
        <is>
          <t>Lavender, Orange Blossom, Jasmine Sambac, Orchid</t>
        </is>
      </c>
      <c r="H42" s="20" t="inlineStr">
        <is>
          <t>Madagascar Vanilla, Tonka Bean, Ambergris, Vetiver</t>
        </is>
      </c>
      <c r="I42" s="20" t="inlineStr">
        <is>
          <t>Amber</t>
        </is>
      </c>
      <c r="J42" s="20" t="inlineStr">
        <is>
          <t>Aromatic</t>
        </is>
      </c>
      <c r="K42" s="20" t="inlineStr">
        <is>
          <t>Vanilla</t>
        </is>
      </c>
      <c r="L42" s="21" t="n"/>
      <c r="M42" s="21" t="n"/>
      <c r="N42" s="21" t="n"/>
      <c r="O42" s="20" t="inlineStr">
        <is>
          <t>Feminine</t>
        </is>
      </c>
      <c r="P42" s="21" t="n"/>
      <c r="Q42" s="21" t="n"/>
      <c r="R42" s="21" t="n"/>
    </row>
    <row r="43" ht="30" customHeight="1">
      <c r="A43" s="19" t="inlineStr">
        <is>
          <t>lost-on-you</t>
        </is>
      </c>
      <c r="B43" s="19" t="inlineStr">
        <is>
          <t>Lost On You</t>
        </is>
      </c>
      <c r="C43" s="19" t="inlineStr">
        <is>
          <t>Inspired by</t>
        </is>
      </c>
      <c r="D43" s="19" t="inlineStr">
        <is>
          <t>Roja Parfums — Lost In Paris</t>
        </is>
      </c>
      <c r="E43" s="19" t="inlineStr">
        <is>
          <t>THE ORIGINAL — Top: Blood Orange, Bitter Orange, Mandarin Orange, Rum · Heart: Sugar, Butter, Caramel · Base: Musk, Pink Pepper, Cashmere Wood, Clove, Cedarwood, Cinnamon, Vanilla, Ambergris
YOUR TEXT — Top: Blood orange, mandarin, bitter orange, rum · Heart: Caramel, sugar, creamy gourmand accords · Base: Vanilla, ambergris, warm woods, soft spices</t>
        </is>
      </c>
      <c r="F43" s="20" t="inlineStr">
        <is>
          <t>Blood Orange, Bitter Orange, Mandarin Orange, Rum</t>
        </is>
      </c>
      <c r="G43" s="20" t="inlineStr">
        <is>
          <t>Sugar, Butter, Caramel</t>
        </is>
      </c>
      <c r="H43" s="20" t="inlineStr">
        <is>
          <t>Musk, Pink Pepper, Cashmere Wood, Clove, Cedarwood, Cinnamon, Vanilla, Ambergris</t>
        </is>
      </c>
      <c r="I43" s="20" t="inlineStr">
        <is>
          <t>Gourmand</t>
        </is>
      </c>
      <c r="J43" s="20" t="inlineStr">
        <is>
          <t>Sweet</t>
        </is>
      </c>
      <c r="K43" s="20" t="inlineStr">
        <is>
          <t>Warm Spicy</t>
        </is>
      </c>
      <c r="L43" s="21" t="n"/>
      <c r="M43" s="21" t="n"/>
      <c r="N43" s="21" t="n"/>
      <c r="O43" s="20" t="inlineStr"/>
      <c r="P43" s="21" t="n"/>
      <c r="Q43" s="21" t="n"/>
      <c r="R43" s="21" t="n"/>
    </row>
    <row r="44" ht="30" customHeight="1">
      <c r="A44" s="19" t="inlineStr">
        <is>
          <t>luna-di-roma</t>
        </is>
      </c>
      <c r="B44" s="19" t="inlineStr">
        <is>
          <t>Luna Di Roma</t>
        </is>
      </c>
      <c r="C44" s="19" t="inlineStr">
        <is>
          <t>Inspired by</t>
        </is>
      </c>
      <c r="D44" s="19" t="inlineStr">
        <is>
          <t>Valentino — Donna Born In Roma Intense</t>
        </is>
      </c>
      <c r="E44" s="19" t="inlineStr">
        <is>
          <t>THE ORIGINAL — Top: Bourbon Vanilla, Amber · Heart: Jasmine · Base: Benzoin
YOUR TEXT — Top: Bourbon Vanilla and Amber · Heart: Jasmine · Base: Benzoin</t>
        </is>
      </c>
      <c r="F44" s="20" t="inlineStr">
        <is>
          <t>Bourbon Vanilla, Amber</t>
        </is>
      </c>
      <c r="G44" s="20" t="inlineStr">
        <is>
          <t>Jasmine</t>
        </is>
      </c>
      <c r="H44" s="20" t="inlineStr">
        <is>
          <t>Benzoin</t>
        </is>
      </c>
      <c r="I44" s="20" t="inlineStr">
        <is>
          <t>Amber</t>
        </is>
      </c>
      <c r="J44" s="20" t="inlineStr">
        <is>
          <t>Floral</t>
        </is>
      </c>
      <c r="K44" s="20" t="inlineStr">
        <is>
          <t>Vanilla</t>
        </is>
      </c>
      <c r="L44" s="21" t="n"/>
      <c r="M44" s="21" t="n"/>
      <c r="N44" s="21" t="n"/>
      <c r="O44" s="20" t="inlineStr">
        <is>
          <t>Feminine</t>
        </is>
      </c>
      <c r="P44" s="21" t="n"/>
      <c r="Q44" s="21" t="n"/>
      <c r="R44" s="21" t="n"/>
    </row>
    <row r="45" ht="30" customHeight="1">
      <c r="A45" s="19" t="inlineStr">
        <is>
          <t>male-elixir</t>
        </is>
      </c>
      <c r="B45" s="19" t="inlineStr">
        <is>
          <t>Male Elixir</t>
        </is>
      </c>
      <c r="C45" s="19" t="inlineStr">
        <is>
          <t>Inspired by</t>
        </is>
      </c>
      <c r="D45" s="19" t="inlineStr">
        <is>
          <t>Jean Paul Gaultier — Le Male Elixir</t>
        </is>
      </c>
      <c r="E45" s="19" t="inlineStr">
        <is>
          <t>THE ORIGINAL — Top: Lavender, Mint · Heart: Vanilla, Benzoin · Base: Honey, Tonka Bean, Tobacco
YOUR DESCRIPTION — Male Elixir In the dimly lit streets of a cosmopolitan city, a man strolled confidently, leaving a trail of allure in his wake. His presence was like a symphony of elegance and sensuality, embodied in the fragrance he wo</t>
        </is>
      </c>
      <c r="F45" s="20" t="inlineStr">
        <is>
          <t>Lavender, Mint</t>
        </is>
      </c>
      <c r="G45" s="20" t="inlineStr">
        <is>
          <t>Vanilla, Benzoin</t>
        </is>
      </c>
      <c r="H45" s="20" t="inlineStr">
        <is>
          <t>Honey, Tonka Bean, Tobacco</t>
        </is>
      </c>
      <c r="I45" s="20" t="inlineStr">
        <is>
          <t>Amber</t>
        </is>
      </c>
      <c r="J45" s="20" t="inlineStr">
        <is>
          <t>Aromatic</t>
        </is>
      </c>
      <c r="K45" s="20" t="inlineStr">
        <is>
          <t>Sweet</t>
        </is>
      </c>
      <c r="L45" s="21" t="n"/>
      <c r="M45" s="21" t="n"/>
      <c r="N45" s="21" t="n"/>
      <c r="O45" s="20" t="inlineStr">
        <is>
          <t>Masculine</t>
        </is>
      </c>
      <c r="P45" s="21" t="n"/>
      <c r="Q45" s="21" t="n"/>
      <c r="R45" s="21" t="n"/>
    </row>
    <row r="46" ht="30" customHeight="1">
      <c r="A46" s="19" t="inlineStr">
        <is>
          <t>mango-on-woods</t>
        </is>
      </c>
      <c r="B46" s="19" t="inlineStr">
        <is>
          <t>Mango on woods</t>
        </is>
      </c>
      <c r="C46" s="19" t="inlineStr">
        <is>
          <t>Inspired by</t>
        </is>
      </c>
      <c r="D46" s="19" t="inlineStr">
        <is>
          <t>Stephane Humbert Lucas 777 — God of Fire</t>
        </is>
      </c>
      <c r="E46" s="19" t="inlineStr">
        <is>
          <t>THE ORIGINAL — Top: Mango, Lemon, Ginger, Red Berries · Heart: Coumarin, Jasmine, Cedar · Base: Musk, Oud, Amber, Cypriol
YOUR DESCRIPTION — Mango on woods Fruity, sweet, woody Tropical woody blend of mango, lemon, ginger, red berries enriched with woody notes &amp; based on amber, musk and nagarmotha. Attractive woody scent has a realistic mango scent with a uni</t>
        </is>
      </c>
      <c r="F46" s="20" t="inlineStr">
        <is>
          <t>Mango, Lemon, Ginger, Red Berries</t>
        </is>
      </c>
      <c r="G46" s="20" t="inlineStr">
        <is>
          <t>Coumarin, Jasmine, Cedar</t>
        </is>
      </c>
      <c r="H46" s="20" t="inlineStr">
        <is>
          <t>Musk, Oud, Amber, Cypriol</t>
        </is>
      </c>
      <c r="I46" s="20" t="inlineStr">
        <is>
          <t>Woody</t>
        </is>
      </c>
      <c r="J46" s="20" t="inlineStr">
        <is>
          <t>Fruity</t>
        </is>
      </c>
      <c r="K46" s="20" t="inlineStr">
        <is>
          <t>Amber</t>
        </is>
      </c>
      <c r="L46" s="21" t="n"/>
      <c r="M46" s="21" t="n"/>
      <c r="N46" s="21" t="n"/>
      <c r="O46" s="20" t="inlineStr">
        <is>
          <t>Masculine</t>
        </is>
      </c>
      <c r="P46" s="21" t="n"/>
      <c r="Q46" s="21" t="n"/>
      <c r="R46" s="21" t="n"/>
    </row>
    <row r="47" ht="30" customHeight="1">
      <c r="A47" s="19" t="inlineStr">
        <is>
          <t>mango-pineapple</t>
        </is>
      </c>
      <c r="B47" s="19" t="inlineStr">
        <is>
          <t>Mango Pineapple</t>
        </is>
      </c>
      <c r="C47" s="19" t="inlineStr">
        <is>
          <t>Inspired by</t>
        </is>
      </c>
      <c r="D47" s="19" t="inlineStr">
        <is>
          <t>Lorenzo Pazzaglia — Summer Hammer</t>
        </is>
      </c>
      <c r="E47" s="19" t="inlineStr">
        <is>
          <t>THE ORIGINAL — Top: Mango, Pineapple, Coconut, Bergamot, Rum · Heart: Coconut Milk, White Floral Notes, Marine Notes · Base: Musk, Sandalwood, Amber, Vetiver
YOUR TEXT — Top: Mango, Pineapple, Bergamot/Lemon zest · Heart: White florals, Coconut water, Creamy accord · Base: Soft Musk, Light Amber, Cashmere Woods</t>
        </is>
      </c>
      <c r="F47" s="20" t="inlineStr">
        <is>
          <t>Mango, Pineapple, Coconut, Bergamot, Rum</t>
        </is>
      </c>
      <c r="G47" s="20" t="inlineStr">
        <is>
          <t>Coconut Milk, White Floral Notes, Marine Notes</t>
        </is>
      </c>
      <c r="H47" s="20" t="inlineStr">
        <is>
          <t>Musk, Sandalwood, Amber, Vetiver</t>
        </is>
      </c>
      <c r="I47" s="20" t="inlineStr">
        <is>
          <t>Fruity</t>
        </is>
      </c>
      <c r="J47" s="20" t="inlineStr">
        <is>
          <t>Coconut</t>
        </is>
      </c>
      <c r="K47" s="20" t="inlineStr">
        <is>
          <t>Sweet</t>
        </is>
      </c>
      <c r="L47" s="21" t="n"/>
      <c r="M47" s="21" t="n"/>
      <c r="N47" s="21" t="n"/>
      <c r="O47" s="20" t="inlineStr"/>
      <c r="P47" s="21" t="n"/>
      <c r="Q47" s="21" t="n"/>
      <c r="R47" s="21" t="n"/>
    </row>
    <row r="48" ht="30" customHeight="1">
      <c r="A48" s="19" t="inlineStr">
        <is>
          <t>marasi</t>
        </is>
      </c>
      <c r="B48" s="19" t="inlineStr">
        <is>
          <t>Marasi</t>
        </is>
      </c>
      <c r="C48" s="19" t="inlineStr">
        <is>
          <t>Inspired by</t>
        </is>
      </c>
      <c r="D48" s="19" t="inlineStr">
        <is>
          <t>Xerjoff — 40 Knots</t>
        </is>
      </c>
      <c r="E48" s="19" t="inlineStr">
        <is>
          <t xml:space="preserve">THE ORIGINAL — Top: Sea Salt, Bergamot, Mandarin Orange · Heart: Driftwood, Seaweed, Violet Leaf · Base: Musk, Leather, Styrax
⚠ Xerjoff keeps the Join the Club pyramid secret; these are community-attributed notes on Fragrantica, not an official list. Treat as weaker evidence than the other 39.
YOUR DESCRIPTION — Marasi Marine, salty, woody On the deck of a majestic yacht, a gentleman basked in the lap of luxury as he sailed across the azure waters. Around him, the salty breeze mingled with the lush green notes of the coastline, </t>
        </is>
      </c>
      <c r="F48" s="20" t="inlineStr">
        <is>
          <t>Sea Salt, Bergamot, Mandarin Orange</t>
        </is>
      </c>
      <c r="G48" s="20" t="inlineStr">
        <is>
          <t>Driftwood, Seaweed, Violet Leaf</t>
        </is>
      </c>
      <c r="H48" s="20" t="inlineStr">
        <is>
          <t>Musk, Leather, Styrax</t>
        </is>
      </c>
      <c r="I48" s="20" t="inlineStr">
        <is>
          <t>Aquatic</t>
        </is>
      </c>
      <c r="J48" s="20" t="inlineStr">
        <is>
          <t>Salty</t>
        </is>
      </c>
      <c r="K48" s="20" t="inlineStr">
        <is>
          <t>Woody</t>
        </is>
      </c>
      <c r="L48" s="21" t="n"/>
      <c r="M48" s="21" t="n"/>
      <c r="N48" s="21" t="n"/>
      <c r="O48" s="20" t="inlineStr"/>
      <c r="P48" s="21" t="n"/>
      <c r="Q48" s="21" t="n"/>
      <c r="R48" s="21" t="n"/>
    </row>
    <row r="49" ht="30" customHeight="1">
      <c r="A49" s="19" t="inlineStr">
        <is>
          <t>pacific-elixir</t>
        </is>
      </c>
      <c r="B49" s="19" t="inlineStr">
        <is>
          <t>Pacific Elixir</t>
        </is>
      </c>
      <c r="C49" s="19" t="inlineStr">
        <is>
          <t>Inspired by</t>
        </is>
      </c>
      <c r="D49" s="19" t="inlineStr">
        <is>
          <t>Louis Vuitton — Pacific Chill</t>
        </is>
      </c>
      <c r="E49" s="19" t="inlineStr">
        <is>
          <t>THE ORIGINAL — Top: Citron, Orange, Lemon, Mint, Black Currant, Coriander · Heart: Apricot, Basil, Carrot Seeds, May Rose · Base: Fig, Dates, Ambrette
YOUR DESCRIPTION — Pacific Elixir Citrus, fruity, sweet. Fresh blend of apricot, orange, mint, lemon, cedrat, blackcurrant, basil with slight hints of dates and amber. Sparkly fresh heavenly scent evokes the serenity of the sparkling ocean</t>
        </is>
      </c>
      <c r="F49" s="20" t="inlineStr">
        <is>
          <t>Citron, Orange, Lemon, Mint, Black Currant, Coriander</t>
        </is>
      </c>
      <c r="G49" s="20" t="inlineStr">
        <is>
          <t>Apricot, Basil, Carrot Seeds, May Rose</t>
        </is>
      </c>
      <c r="H49" s="20" t="inlineStr">
        <is>
          <t>Fig, Dates, Ambrette</t>
        </is>
      </c>
      <c r="I49" s="20" t="inlineStr">
        <is>
          <t>Aromatic</t>
        </is>
      </c>
      <c r="J49" s="20" t="inlineStr">
        <is>
          <t>Fruity</t>
        </is>
      </c>
      <c r="K49" s="20" t="inlineStr">
        <is>
          <t>Citrus</t>
        </is>
      </c>
      <c r="L49" s="21" t="n"/>
      <c r="M49" s="21" t="n"/>
      <c r="N49" s="21" t="n"/>
      <c r="O49" s="20" t="inlineStr"/>
      <c r="P49" s="21" t="n"/>
      <c r="Q49" s="21" t="n"/>
      <c r="R49" s="21" t="n"/>
    </row>
    <row r="50" ht="30" customHeight="1">
      <c r="A50" s="19" t="inlineStr">
        <is>
          <t>siwa-trail</t>
        </is>
      </c>
      <c r="B50" s="19" t="inlineStr">
        <is>
          <t>Siwa Trail</t>
        </is>
      </c>
      <c r="C50" s="19" t="inlineStr">
        <is>
          <t>Inspired by</t>
        </is>
      </c>
      <c r="D50" s="19" t="inlineStr">
        <is>
          <t>Amouage — Guidance</t>
        </is>
      </c>
      <c r="E50" s="19" t="inlineStr">
        <is>
          <t xml:space="preserve">THE ORIGINAL — Top: Hazelnut, Pear, Olibanum · Heart: Osmanthus, Rose, Saffron, Jasmine Sambac · Base: Sandalwood, Vanilla, Akigalawood, Ambergris, Labdanum
YOUR DESCRIPTION — Siwa Trail The new summer edition A journey through the golden dunes of Siwa, the scent of hazelnut, pear, vanilla and soft woods lingering in the air with shades of amber. A fragrance that felt like a memory, a whisper </t>
        </is>
      </c>
      <c r="F50" s="20" t="inlineStr">
        <is>
          <t>Hazelnut, Pear, Olibanum</t>
        </is>
      </c>
      <c r="G50" s="20" t="inlineStr">
        <is>
          <t>Osmanthus, Rose, Saffron, Jasmine Sambac</t>
        </is>
      </c>
      <c r="H50" s="20" t="inlineStr">
        <is>
          <t>Sandalwood, Vanilla, Akigalawood, Ambergris, Labdanum</t>
        </is>
      </c>
      <c r="I50" s="20" t="inlineStr">
        <is>
          <t>Woody</t>
        </is>
      </c>
      <c r="J50" s="20" t="inlineStr">
        <is>
          <t>Amber</t>
        </is>
      </c>
      <c r="K50" s="20" t="inlineStr">
        <is>
          <t>Warm Spicy</t>
        </is>
      </c>
      <c r="L50" s="21" t="n"/>
      <c r="M50" s="21" t="n"/>
      <c r="N50" s="21" t="n"/>
      <c r="O50" s="20" t="inlineStr">
        <is>
          <t>Unisex</t>
        </is>
      </c>
      <c r="P50" s="21" t="n"/>
      <c r="Q50" s="21" t="n"/>
      <c r="R50" s="21" t="n"/>
    </row>
    <row r="51" ht="30" customHeight="1">
      <c r="A51" s="19" t="inlineStr">
        <is>
          <t>soiree</t>
        </is>
      </c>
      <c r="B51" s="19" t="inlineStr">
        <is>
          <t>Soiree</t>
        </is>
      </c>
      <c r="C51" s="19" t="inlineStr">
        <is>
          <t>Inspired by</t>
        </is>
      </c>
      <c r="D51" s="19" t="inlineStr">
        <is>
          <t>Maison Francis Kurkdjian — Grand Soir</t>
        </is>
      </c>
      <c r="E51" s="19" t="inlineStr">
        <is>
          <t>THE ORIGINAL — Top: Labdanum, Orange · Heart: Lavender, Siam Benzoin · Base: Amber, Vanilla, Tonka Bean, Musk, Cedar
YOUR DESCRIPTION — Soiree Warm amber fragrance. Velvety rich amber enriched with expensive vanilla extract, creamy tonka, labdanum with resin &amp; woody touches. Dense smoky scent with leathery animalic nuances.</t>
        </is>
      </c>
      <c r="F51" s="20" t="inlineStr">
        <is>
          <t>Labdanum, Orange</t>
        </is>
      </c>
      <c r="G51" s="20" t="inlineStr">
        <is>
          <t>Lavender, Siam Benzoin</t>
        </is>
      </c>
      <c r="H51" s="20" t="inlineStr">
        <is>
          <t>Amber, Vanilla, Tonka Bean, Musk, Cedar</t>
        </is>
      </c>
      <c r="I51" s="20" t="inlineStr">
        <is>
          <t>Amber</t>
        </is>
      </c>
      <c r="J51" s="20" t="inlineStr">
        <is>
          <t>Vanilla</t>
        </is>
      </c>
      <c r="K51" s="20" t="inlineStr">
        <is>
          <t>Sweet</t>
        </is>
      </c>
      <c r="L51" s="21" t="n"/>
      <c r="M51" s="21" t="n"/>
      <c r="N51" s="21" t="n"/>
      <c r="O51" s="20" t="inlineStr"/>
      <c r="P51" s="21" t="n"/>
      <c r="Q51" s="21" t="n"/>
      <c r="R51" s="21" t="n"/>
    </row>
    <row r="52" ht="30" customHeight="1">
      <c r="A52" s="19" t="inlineStr">
        <is>
          <t>soul-poudree</t>
        </is>
      </c>
      <c r="B52" s="19" t="inlineStr">
        <is>
          <t>Soul Poudree</t>
        </is>
      </c>
      <c r="C52" s="19" t="inlineStr">
        <is>
          <t>Inspired by</t>
        </is>
      </c>
      <c r="D52" s="19" t="inlineStr">
        <is>
          <t>Narciso Rodriguez — Narciso Poudree</t>
        </is>
      </c>
      <c r="E52" s="19" t="inlineStr">
        <is>
          <t>THE ORIGINAL — Top: Jasmine, Bulgarian Rose, Orange Blossom · Heart: Musk · Base: Coumarin, Cedar, Vetiver, Patchouli
YOUR TEXT — Top: Jasmine, Bulgarian Rose and Orange Blossom · Heart: Musk · Base: Coumarin, Cedar, Vetiver and Patchouli</t>
        </is>
      </c>
      <c r="F52" s="20" t="inlineStr">
        <is>
          <t>Jasmine, Bulgarian Rose, Orange Blossom</t>
        </is>
      </c>
      <c r="G52" s="20" t="inlineStr">
        <is>
          <t>Musk</t>
        </is>
      </c>
      <c r="H52" s="20" t="inlineStr">
        <is>
          <t>Coumarin, Cedar, Vetiver, Patchouli</t>
        </is>
      </c>
      <c r="I52" s="20" t="inlineStr">
        <is>
          <t>Musky</t>
        </is>
      </c>
      <c r="J52" s="20" t="inlineStr">
        <is>
          <t>White Floral</t>
        </is>
      </c>
      <c r="K52" s="20" t="inlineStr">
        <is>
          <t>Powdery</t>
        </is>
      </c>
      <c r="L52" s="21" t="n"/>
      <c r="M52" s="21" t="n"/>
      <c r="N52" s="21" t="n"/>
      <c r="O52" s="20" t="inlineStr">
        <is>
          <t>Feminine</t>
        </is>
      </c>
      <c r="P52" s="21" t="n"/>
      <c r="Q52" s="21" t="n"/>
      <c r="R52" s="21" t="n"/>
    </row>
    <row r="53" ht="30" customHeight="1">
      <c r="A53" s="19" t="inlineStr">
        <is>
          <t>stellar-nights</t>
        </is>
      </c>
      <c r="B53" s="19" t="inlineStr">
        <is>
          <t>Stellar Nights</t>
        </is>
      </c>
      <c r="C53" s="19" t="inlineStr">
        <is>
          <t>Inspired by</t>
        </is>
      </c>
      <c r="D53" s="19" t="inlineStr">
        <is>
          <t>Louis Vuitton — Stellar Times</t>
        </is>
      </c>
      <c r="E53" s="19" t="inlineStr">
        <is>
          <t xml:space="preserve">THE ORIGINAL — Top: Orange Blossom · Heart: Amber · Base: Woody Notes
YOUR DESCRIPTION — Stellar Nights Discover the allure of our new unisex perfume, a harmonious fusion where the warm amber intertwines with the vibrant essence of orange blossoms. Balanced by the grounding notes of woods which captures the </t>
        </is>
      </c>
      <c r="F53" s="20" t="inlineStr">
        <is>
          <t>Orange Blossom</t>
        </is>
      </c>
      <c r="G53" s="20" t="inlineStr">
        <is>
          <t>Amber</t>
        </is>
      </c>
      <c r="H53" s="20" t="inlineStr">
        <is>
          <t>Woody Notes</t>
        </is>
      </c>
      <c r="I53" s="20" t="inlineStr">
        <is>
          <t>Amber</t>
        </is>
      </c>
      <c r="J53" s="20" t="inlineStr">
        <is>
          <t>Floral</t>
        </is>
      </c>
      <c r="K53" s="20" t="inlineStr">
        <is>
          <t>Woody</t>
        </is>
      </c>
      <c r="L53" s="21" t="n"/>
      <c r="M53" s="21" t="n"/>
      <c r="N53" s="21" t="n"/>
      <c r="O53" s="20" t="inlineStr"/>
      <c r="P53" s="21" t="n"/>
      <c r="Q53" s="21" t="n"/>
      <c r="R53" s="21" t="n"/>
    </row>
    <row r="54" ht="30" customHeight="1">
      <c r="A54" s="19" t="inlineStr">
        <is>
          <t>summer-elegance</t>
        </is>
      </c>
      <c r="B54" s="19" t="inlineStr">
        <is>
          <t>summer elegance</t>
        </is>
      </c>
      <c r="C54" s="19" t="inlineStr">
        <is>
          <t>Inspired by</t>
        </is>
      </c>
      <c r="D54" s="19" t="inlineStr">
        <is>
          <t>Louis Vuitton — Imagination</t>
        </is>
      </c>
      <c r="E54" s="19" t="inlineStr">
        <is>
          <t>THE ORIGINAL — Top: Citron, Bergamot, Orange · Heart: Neroli, Ginger, Cinnamon · Base: Black Tea, Ambroxan, Guaiac Wood, Olibanum
YOUR DESCRIPTION — Summer elegance Citrus, Fresh, Clean Elegant blend of citron, bergamot, orange, neroli, cinnamon based on ambroxan, woods, and chinese black tea. Calming, refreshing and inviting perfume will avoid you to smell like ever</t>
        </is>
      </c>
      <c r="F54" s="20" t="inlineStr">
        <is>
          <t>Citron, Bergamot, Orange</t>
        </is>
      </c>
      <c r="G54" s="20" t="inlineStr">
        <is>
          <t>Neroli, Ginger, Cinnamon</t>
        </is>
      </c>
      <c r="H54" s="20" t="inlineStr">
        <is>
          <t>Black Tea, Ambroxan, Guaiac Wood, Olibanum</t>
        </is>
      </c>
      <c r="I54" s="20" t="inlineStr">
        <is>
          <t>Citrus</t>
        </is>
      </c>
      <c r="J54" s="20" t="inlineStr">
        <is>
          <t>Aromatic</t>
        </is>
      </c>
      <c r="K54" s="20" t="inlineStr">
        <is>
          <t>Fresh</t>
        </is>
      </c>
      <c r="L54" s="21" t="n"/>
      <c r="M54" s="21" t="n"/>
      <c r="N54" s="21" t="n"/>
      <c r="O54" s="20" t="inlineStr">
        <is>
          <t>Masculine</t>
        </is>
      </c>
      <c r="P54" s="21" t="n"/>
      <c r="Q54" s="21" t="n"/>
      <c r="R54" s="21" t="n"/>
    </row>
    <row r="55" ht="30" customHeight="1">
      <c r="A55" s="19" t="inlineStr">
        <is>
          <t>summer-holidays</t>
        </is>
      </c>
      <c r="B55" s="19" t="inlineStr">
        <is>
          <t>Summer Holidays</t>
        </is>
      </c>
      <c r="C55" s="19" t="inlineStr">
        <is>
          <t>Inspired by</t>
        </is>
      </c>
      <c r="D55" s="19" t="inlineStr">
        <is>
          <t>Louis Vuitton — Afternoon Swim</t>
        </is>
      </c>
      <c r="E55" s="19" t="inlineStr">
        <is>
          <t>THE ORIGINAL — Top: Mandarin Orange, Bergamot, Grapefruit · Heart: Jasmine Sambac, Aquatic Notes · Base: Musk, Ambergris
YOUR DESCRIPTION — Citrus, fresh, aquatic Summer Holidays a super refreshing blend of sicilian orange, bergamot, mandarine, ginger with hints of ambergris. A beautiful citrus scent, juicy and addictive. perfect for summer and daily use.</t>
        </is>
      </c>
      <c r="F55" s="20" t="inlineStr">
        <is>
          <t>Mandarin Orange, Bergamot, Grapefruit</t>
        </is>
      </c>
      <c r="G55" s="20" t="inlineStr">
        <is>
          <t>Jasmine Sambac, Aquatic Notes</t>
        </is>
      </c>
      <c r="H55" s="20" t="inlineStr">
        <is>
          <t>Musk, Ambergris</t>
        </is>
      </c>
      <c r="I55" s="20" t="inlineStr">
        <is>
          <t>Citrus</t>
        </is>
      </c>
      <c r="J55" s="20" t="inlineStr">
        <is>
          <t>Aquatic</t>
        </is>
      </c>
      <c r="K55" s="20" t="inlineStr">
        <is>
          <t>Fresh</t>
        </is>
      </c>
      <c r="L55" s="21" t="n"/>
      <c r="M55" s="21" t="n"/>
      <c r="N55" s="21" t="n"/>
      <c r="O55" s="20" t="inlineStr"/>
      <c r="P55" s="21" t="n"/>
      <c r="Q55" s="21" t="n"/>
      <c r="R55" s="21" t="n"/>
    </row>
    <row r="56" ht="30" customHeight="1">
      <c r="A56" s="19" t="inlineStr">
        <is>
          <t>sundaze</t>
        </is>
      </c>
      <c r="B56" s="19" t="inlineStr">
        <is>
          <t>Sundaze</t>
        </is>
      </c>
      <c r="C56" s="19" t="inlineStr">
        <is>
          <t>Inspired by</t>
        </is>
      </c>
      <c r="D56" s="19" t="inlineStr">
        <is>
          <t>Giorgio Armani — Power Of You</t>
        </is>
      </c>
      <c r="E56" s="19" t="inlineStr">
        <is>
          <t>THE ORIGINAL — Top: Passionfruit, Bitter Orange, Lemon · Heart: Frangipani, Solar Notes · Base: Madagascar Vanilla, Benzoin, Labdanum
⚠ MATCHES Siwa's own published pyramid for this product, note for note. This is the validation case for the whole file.
YOUR TEXT — Top: Passionfruit, Bitter Orange &amp; Lemon · Heart: Frangipani &amp; Solar Accords</t>
        </is>
      </c>
      <c r="F56" s="20" t="inlineStr">
        <is>
          <t>Passionfruit, Bitter Orange, Lemon</t>
        </is>
      </c>
      <c r="G56" s="20" t="inlineStr">
        <is>
          <t>Frangipani, Solar Notes</t>
        </is>
      </c>
      <c r="H56" s="20" t="inlineStr">
        <is>
          <t>Madagascar Vanilla, Benzoin, Labdanum</t>
        </is>
      </c>
      <c r="I56" s="20" t="inlineStr">
        <is>
          <t>Fruity</t>
        </is>
      </c>
      <c r="J56" s="20" t="inlineStr">
        <is>
          <t>Floral</t>
        </is>
      </c>
      <c r="K56" s="20" t="inlineStr">
        <is>
          <t>Gourmand</t>
        </is>
      </c>
      <c r="L56" s="21" t="n"/>
      <c r="M56" s="21" t="n"/>
      <c r="N56" s="21" t="n"/>
      <c r="O56" s="20" t="inlineStr"/>
      <c r="P56" s="21" t="n"/>
      <c r="Q56" s="21" t="n"/>
      <c r="R56" s="21" t="n"/>
    </row>
    <row r="57" ht="30" customHeight="1">
      <c r="A57" s="19" t="inlineStr">
        <is>
          <t>sweet-oud</t>
        </is>
      </c>
      <c r="B57" s="19" t="inlineStr">
        <is>
          <t>Sweet Oud</t>
        </is>
      </c>
      <c r="C57" s="19" t="inlineStr">
        <is>
          <t>Inspired by</t>
        </is>
      </c>
      <c r="D57" s="19" t="inlineStr">
        <is>
          <t>Maison Crivelli — Oud Cadenza</t>
        </is>
      </c>
      <c r="E57" s="19" t="inlineStr">
        <is>
          <t>THE ORIGINAL — Top: Saffron, Cinnamon, Cardamom, Nutmeg, Ginger, Pink Pepper · Heart: Dates, Oud, Caramel, Sugar Cane, Incense, Amberwood, Myrrh · Base: Madagascar Vanilla, Cacao, Tonka Bean, Leather, Benzoin, Musk, Patchouli, Labdanum
YOUR TEXT — Top: Saffron, cinnamon, cardamom · Heart: Dates, caramel, oud, sugar · Base: Vanilla, tonka, leather</t>
        </is>
      </c>
      <c r="F57" s="20" t="inlineStr">
        <is>
          <t>Saffron, Cinnamon, Cardamom, Nutmeg, Ginger, Pink Pepper</t>
        </is>
      </c>
      <c r="G57" s="20" t="inlineStr">
        <is>
          <t>Dates, Oud, Caramel, Sugar Cane, Incense, Amberwood, Myrrh</t>
        </is>
      </c>
      <c r="H57" s="20" t="inlineStr">
        <is>
          <t>Madagascar Vanilla, Cacao, Tonka Bean, Leather, Benzoin, Musk, Patchouli, Labdanum</t>
        </is>
      </c>
      <c r="I57" s="20" t="inlineStr">
        <is>
          <t>Oud</t>
        </is>
      </c>
      <c r="J57" s="20" t="inlineStr">
        <is>
          <t>Warm Spicy</t>
        </is>
      </c>
      <c r="K57" s="20" t="inlineStr">
        <is>
          <t>Sweet</t>
        </is>
      </c>
      <c r="L57" s="21" t="n"/>
      <c r="M57" s="21" t="n"/>
      <c r="N57" s="21" t="n"/>
      <c r="O57" s="20" t="inlineStr">
        <is>
          <t>Unisex</t>
        </is>
      </c>
      <c r="P57" s="21" t="n"/>
      <c r="Q57" s="21" t="n"/>
      <c r="R57" s="21" t="n"/>
    </row>
  </sheetData>
  <sheetProtection selectLockedCells="0" selectUnlockedCells="0" sheet="1" objects="0" insertRows="1" insertHyperlinks="1" autoFilter="1" scenarios="0" formatColumns="1" deleteColumns="1" insertColumns="1" pivotTables="1" deleteRows="1" formatCells="1" formatRows="1" sort="1"/>
  <conditionalFormatting sqref="L2:L57">
    <cfRule type="expression" priority="1" dxfId="0" stopIfTrue="0">
      <formula>ISBLANK(L2)</formula>
    </cfRule>
  </conditionalFormatting>
  <conditionalFormatting sqref="M2:M57">
    <cfRule type="expression" priority="2" dxfId="0" stopIfTrue="0">
      <formula>ISBLANK(M2)</formula>
    </cfRule>
  </conditionalFormatting>
  <conditionalFormatting sqref="N2:N57">
    <cfRule type="expression" priority="3" dxfId="0" stopIfTrue="0">
      <formula>ISBLANK(N2)</formula>
    </cfRule>
  </conditionalFormatting>
  <conditionalFormatting sqref="I2:I57">
    <cfRule type="expression" priority="4" dxfId="0" stopIfTrue="0">
      <formula>ISBLANK(I2)</formula>
    </cfRule>
  </conditionalFormatting>
  <dataValidations count="6">
    <dataValidation sqref="F2:H57" showDropDown="0" showInputMessage="1" showErrorMessage="0" allowBlank="1" promptTitle="How to fill this" prompt="Comma-separated. Pick from the list or type your own." type="list">
      <formula1>=LIST_NOTES</formula1>
    </dataValidation>
    <dataValidation sqref="I2:K57" showDropDown="0" showInputMessage="1" showErrorMessage="1" allowBlank="1" errorTitle="Not on the list" error="Pick a value from the dropdown." promptTitle="How to fill this" prompt="Fragrantica main accords. Family 1 is the dominant one — it also sets the season." type="list">
      <formula1>=LIST_FAMILY</formula1>
    </dataValidation>
    <dataValidation sqref="L2:L57" showDropDown="0" showInputMessage="0" showErrorMessage="1" allowBlank="1" errorTitle="Not on the list" error="Pick a value from the dropdown." type="list">
      <formula1>=LIST_INTENSITY</formula1>
    </dataValidation>
    <dataValidation sqref="M2:M57" showDropDown="0" showInputMessage="0" showErrorMessage="1" allowBlank="1" errorTitle="Not on the list" error="Pick a value from the dropdown." type="list">
      <formula1>=LIST_SILLAGE</formula1>
    </dataValidation>
    <dataValidation sqref="O2:O57" showDropDown="0" showInputMessage="0" showErrorMessage="1" allowBlank="1" errorTitle="Not on the list" error="Pick a value from the dropdown." type="list">
      <formula1>=LIST_GENDER</formula1>
    </dataValidation>
    <dataValidation sqref="N2:N57" showDropDown="0" showInputMessage="0" showErrorMessage="1" allowBlank="1" errorTitle="Hours" error="A whole number of hours, 1 to 24." type="whole" operator="between">
      <formula1>1</formula1>
      <formula2>24</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2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20" customWidth="1" min="2" max="2"/>
    <col width="34" customWidth="1" min="3" max="3"/>
    <col width="34" customWidth="1" min="4" max="4"/>
    <col width="34" customWidth="1" min="5" max="5"/>
    <col width="34" customWidth="1" min="6" max="6"/>
    <col width="34" customWidth="1" min="7" max="7"/>
    <col width="34" customWidth="1" min="8" max="8"/>
    <col width="34" customWidth="1" min="9" max="9"/>
    <col width="34" customWidth="1" min="10" max="10"/>
  </cols>
  <sheetData>
    <row r="1" ht="44" customHeight="1">
      <c r="A1" s="18" t="inlineStr">
        <is>
          <t>handle</t>
        </is>
      </c>
      <c r="B1" s="18" t="inlineStr">
        <is>
          <t>Product</t>
        </is>
      </c>
      <c r="C1" s="18" t="inlineStr">
        <is>
          <t>Where it comes from (EN)</t>
        </is>
      </c>
      <c r="D1" s="18" t="inlineStr">
        <is>
          <t>Where it comes from (AR)</t>
        </is>
      </c>
      <c r="E1" s="18" t="inlineStr">
        <is>
          <t>Ingredient origin (EN)</t>
        </is>
      </c>
      <c r="F1" s="18" t="inlineStr">
        <is>
          <t>Ingredient origin (AR)</t>
        </is>
      </c>
      <c r="G1" s="18" t="inlineStr">
        <is>
          <t>Who made it (EN)</t>
        </is>
      </c>
      <c r="H1" s="18" t="inlineStr">
        <is>
          <t>Who made it (AR)</t>
        </is>
      </c>
      <c r="I1" s="18" t="inlineStr">
        <is>
          <t>What the name means (EN)</t>
        </is>
      </c>
      <c r="J1" s="18" t="inlineStr">
        <is>
          <t>What the name means (AR)</t>
        </is>
      </c>
    </row>
    <row r="2" ht="30" customHeight="1">
      <c r="A2" s="19" t="inlineStr">
        <is>
          <t>apple-pie</t>
        </is>
      </c>
      <c r="B2" s="19" t="inlineStr">
        <is>
          <t>Apple Pie</t>
        </is>
      </c>
      <c r="C2" s="21" t="n"/>
      <c r="D2" s="21" t="n"/>
      <c r="E2" s="21" t="n"/>
      <c r="F2" s="21" t="n"/>
      <c r="G2" s="21" t="n"/>
      <c r="H2" s="21" t="n"/>
      <c r="I2" s="21" t="n"/>
      <c r="J2" s="21" t="n"/>
    </row>
    <row r="3" ht="30" customHeight="1">
      <c r="A3" s="19" t="inlineStr">
        <is>
          <t>chocolate-creme</t>
        </is>
      </c>
      <c r="B3" s="19" t="inlineStr">
        <is>
          <t>Chocolate Creme</t>
        </is>
      </c>
      <c r="C3" s="21" t="n"/>
      <c r="D3" s="21" t="n"/>
      <c r="E3" s="21" t="n"/>
      <c r="F3" s="21" t="n"/>
      <c r="G3" s="21" t="n"/>
      <c r="H3" s="21" t="n"/>
      <c r="I3" s="21" t="n"/>
      <c r="J3" s="21" t="n"/>
    </row>
    <row r="4" ht="30" customHeight="1">
      <c r="A4" s="19" t="inlineStr">
        <is>
          <t>coffee-vanilla</t>
        </is>
      </c>
      <c r="B4" s="19" t="inlineStr">
        <is>
          <t>Coffee Vanilla</t>
        </is>
      </c>
      <c r="C4" s="21" t="n"/>
      <c r="D4" s="21" t="n"/>
      <c r="E4" s="21" t="n"/>
      <c r="F4" s="21" t="n"/>
      <c r="G4" s="21" t="n"/>
      <c r="H4" s="21" t="n"/>
      <c r="I4" s="21" t="n"/>
      <c r="J4" s="21" t="n"/>
    </row>
    <row r="5" ht="30" customHeight="1">
      <c r="A5" s="19" t="inlineStr">
        <is>
          <t>gourmet</t>
        </is>
      </c>
      <c r="B5" s="19" t="inlineStr">
        <is>
          <t>Gourmet</t>
        </is>
      </c>
      <c r="C5" s="21" t="n"/>
      <c r="D5" s="21" t="n"/>
      <c r="E5" s="21" t="n"/>
      <c r="F5" s="21" t="n"/>
      <c r="G5" s="21" t="n"/>
      <c r="H5" s="21" t="n"/>
      <c r="I5" s="21" t="n"/>
      <c r="J5" s="21" t="n"/>
    </row>
    <row r="6" ht="30" customHeight="1">
      <c r="A6" s="19" t="inlineStr">
        <is>
          <t>irresistible-vanilla</t>
        </is>
      </c>
      <c r="B6" s="19" t="inlineStr">
        <is>
          <t>Irresistible Vanilla</t>
        </is>
      </c>
      <c r="C6" s="21" t="n"/>
      <c r="D6" s="21" t="n"/>
      <c r="E6" s="21" t="n"/>
      <c r="F6" s="21" t="n"/>
      <c r="G6" s="21" t="n"/>
      <c r="H6" s="21" t="n"/>
      <c r="I6" s="21" t="n"/>
      <c r="J6" s="21" t="n"/>
    </row>
    <row r="7" ht="30" customHeight="1">
      <c r="A7" s="19" t="inlineStr">
        <is>
          <t>layering-30-ml-bundle</t>
        </is>
      </c>
      <c r="B7" s="19" t="inlineStr">
        <is>
          <t>Layering bundle</t>
        </is>
      </c>
      <c r="C7" s="21" t="n"/>
      <c r="D7" s="21" t="n"/>
      <c r="E7" s="21" t="n"/>
      <c r="F7" s="21" t="n"/>
      <c r="G7" s="21" t="n"/>
      <c r="H7" s="21" t="n"/>
      <c r="I7" s="21" t="n"/>
      <c r="J7" s="21" t="n"/>
    </row>
    <row r="8" ht="30" customHeight="1">
      <c r="A8" s="19" t="inlineStr">
        <is>
          <t>marshmallow</t>
        </is>
      </c>
      <c r="B8" s="19" t="inlineStr">
        <is>
          <t>Marshmallow</t>
        </is>
      </c>
      <c r="C8" s="21" t="n"/>
      <c r="D8" s="21" t="n"/>
      <c r="E8" s="21" t="n"/>
      <c r="F8" s="21" t="n"/>
      <c r="G8" s="21" t="n"/>
      <c r="H8" s="21" t="n"/>
      <c r="I8" s="21" t="n"/>
      <c r="J8" s="21" t="n"/>
    </row>
    <row r="9" ht="30" customHeight="1">
      <c r="A9" s="19" t="inlineStr">
        <is>
          <t>marshmallow-bundle</t>
        </is>
      </c>
      <c r="B9" s="19" t="inlineStr">
        <is>
          <t>Marshmallow Bundle</t>
        </is>
      </c>
      <c r="C9" s="21" t="n"/>
      <c r="D9" s="21" t="n"/>
      <c r="E9" s="21" t="n"/>
      <c r="F9" s="21" t="n"/>
      <c r="G9" s="21" t="n"/>
      <c r="H9" s="21" t="n"/>
      <c r="I9" s="21" t="n"/>
      <c r="J9" s="21" t="n"/>
    </row>
    <row r="10" ht="30" customHeight="1">
      <c r="A10" s="19" t="inlineStr">
        <is>
          <t>mawj</t>
        </is>
      </c>
      <c r="B10" s="19" t="inlineStr">
        <is>
          <t>Mawj</t>
        </is>
      </c>
      <c r="C10" s="21" t="n"/>
      <c r="D10" s="21" t="n"/>
      <c r="E10" s="21" t="n"/>
      <c r="F10" s="21" t="n"/>
      <c r="G10" s="21" t="n"/>
      <c r="H10" s="21" t="n"/>
      <c r="I10" s="21" t="n"/>
      <c r="J10" s="21" t="n"/>
    </row>
    <row r="11" ht="30" customHeight="1">
      <c r="A11" s="19" t="inlineStr">
        <is>
          <t>pink-allure</t>
        </is>
      </c>
      <c r="B11" s="19" t="inlineStr">
        <is>
          <t>Pink Allure</t>
        </is>
      </c>
      <c r="C11" s="21" t="n"/>
      <c r="D11" s="21" t="n"/>
      <c r="E11" s="21" t="n"/>
      <c r="F11" s="21" t="n"/>
      <c r="G11" s="21" t="n"/>
      <c r="H11" s="21" t="n"/>
      <c r="I11" s="21" t="n"/>
      <c r="J11" s="21" t="n"/>
    </row>
    <row r="12" ht="30" customHeight="1">
      <c r="A12" s="19" t="inlineStr">
        <is>
          <t>pink-arrogance</t>
        </is>
      </c>
      <c r="B12" s="19" t="inlineStr">
        <is>
          <t>Pink Arrogance</t>
        </is>
      </c>
      <c r="C12" s="21" t="n"/>
      <c r="D12" s="21" t="n"/>
      <c r="E12" s="21" t="n"/>
      <c r="F12" s="21" t="n"/>
      <c r="G12" s="21" t="n"/>
      <c r="H12" s="21" t="n"/>
      <c r="I12" s="21" t="n"/>
      <c r="J12" s="21" t="n"/>
    </row>
    <row r="13" ht="30" customHeight="1">
      <c r="A13" s="19" t="inlineStr">
        <is>
          <t>silk-vanilla</t>
        </is>
      </c>
      <c r="B13" s="19" t="inlineStr">
        <is>
          <t>Silk Vanilla</t>
        </is>
      </c>
      <c r="C13" s="21" t="n"/>
      <c r="D13" s="21" t="n"/>
      <c r="E13" s="21" t="n"/>
      <c r="F13" s="21" t="n"/>
      <c r="G13" s="21" t="n"/>
      <c r="H13" s="21" t="n"/>
      <c r="I13" s="21" t="n"/>
      <c r="J13" s="21" t="n"/>
    </row>
    <row r="14" ht="30" customHeight="1">
      <c r="A14" s="19" t="inlineStr">
        <is>
          <t>silk-vanilla-body-lotion</t>
        </is>
      </c>
      <c r="B14" s="19" t="inlineStr">
        <is>
          <t>Silk Vanilla Body Lotion</t>
        </is>
      </c>
      <c r="C14" s="21" t="n"/>
      <c r="D14" s="21" t="n"/>
      <c r="E14" s="21" t="n"/>
      <c r="F14" s="21" t="n"/>
      <c r="G14" s="21" t="n"/>
      <c r="H14" s="21" t="n"/>
      <c r="I14" s="21" t="n"/>
      <c r="J14" s="21" t="n"/>
    </row>
    <row r="15" ht="30" customHeight="1">
      <c r="A15" s="19" t="inlineStr">
        <is>
          <t>sweet-rum</t>
        </is>
      </c>
      <c r="B15" s="19" t="inlineStr">
        <is>
          <t>Sweet Rum</t>
        </is>
      </c>
      <c r="C15" s="21" t="n"/>
      <c r="D15" s="21" t="n"/>
      <c r="E15" s="21" t="n"/>
      <c r="F15" s="21" t="n"/>
      <c r="G15" s="21" t="n"/>
      <c r="H15" s="21" t="n"/>
      <c r="I15" s="21" t="n"/>
      <c r="J15" s="21" t="n"/>
    </row>
    <row r="16" ht="30" customHeight="1">
      <c r="A16" s="19" t="inlineStr">
        <is>
          <t>vanilla-91</t>
        </is>
      </c>
      <c r="B16" s="19" t="inlineStr">
        <is>
          <t>Vanilla 91</t>
        </is>
      </c>
      <c r="C16" s="21" t="n"/>
      <c r="D16" s="21" t="n"/>
      <c r="E16" s="21" t="n"/>
      <c r="F16" s="21" t="n"/>
      <c r="G16" s="21" t="n"/>
      <c r="H16" s="21" t="n"/>
      <c r="I16" s="21" t="n"/>
      <c r="J16" s="21" t="n"/>
    </row>
    <row r="17" ht="30" customHeight="1">
      <c r="A17" s="19" t="inlineStr">
        <is>
          <t>vanilla-bundle</t>
        </is>
      </c>
      <c r="B17" s="19" t="inlineStr">
        <is>
          <t>Vanilla Bundle</t>
        </is>
      </c>
      <c r="C17" s="21" t="n"/>
      <c r="D17" s="21" t="n"/>
      <c r="E17" s="21" t="n"/>
      <c r="F17" s="21" t="n"/>
      <c r="G17" s="21" t="n"/>
      <c r="H17" s="21" t="n"/>
      <c r="I17" s="21" t="n"/>
      <c r="J17" s="21" t="n"/>
    </row>
    <row r="19">
      <c r="A19" s="22" t="inlineStr">
        <is>
          <t>Only the 16 products Siwa makes itself are on this sheet. The 40 inspired-by products are absent by design — heritage language on a designer clone reads as decoration and the corpus rules it out.</t>
        </is>
      </c>
    </row>
    <row r="21">
      <c r="A21" s="23" t="inlineStr">
        <is>
          <t>"Who made it" is for a real collaboration only. If no Siwan artisan actually worked on the product, leave it empty — an empty cell is honest, a claim is not.</t>
        </is>
      </c>
    </row>
  </sheetData>
  <sheetProtection selectLockedCells="0" selectUnlockedCells="0" sheet="1" objects="0" insertRows="1" insertHyperlinks="1" autoFilter="1" scenarios="0" formatColumns="1" deleteColumns="1" insertColumns="1" pivotTables="1" deleteRows="1" formatCells="1" formatRows="1" sort="1"/>
  <mergeCells count="2">
    <mergeCell ref="A19:J19"/>
    <mergeCell ref="A21:J2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13" customWidth="1" min="2" max="2"/>
    <col width="20" customWidth="1" min="3" max="3"/>
    <col width="18" customWidth="1" min="4" max="4"/>
    <col width="12" customWidth="1" min="5" max="5"/>
    <col width="14" customWidth="1" min="6" max="6"/>
    <col width="13" customWidth="1" min="7" max="7"/>
    <col width="26" customWidth="1" min="8" max="8"/>
    <col width="46" customWidth="1" min="9" max="9"/>
    <col width="40" customWidth="1" min="10" max="10"/>
  </cols>
  <sheetData>
    <row r="1" ht="40" customHeight="1">
      <c r="A1" s="18" t="inlineStr">
        <is>
          <t>handle</t>
        </is>
      </c>
      <c r="B1" s="18" t="inlineStr">
        <is>
          <t>Register</t>
        </is>
      </c>
      <c r="C1" s="18" t="inlineStr">
        <is>
          <t>Concentration</t>
        </is>
      </c>
      <c r="D1" s="18" t="inlineStr">
        <is>
          <t>Product type</t>
        </is>
      </c>
      <c r="E1" s="18" t="inlineStr">
        <is>
          <t>Season</t>
        </is>
      </c>
      <c r="F1" s="18" t="inlineStr">
        <is>
          <t>Badge</t>
        </is>
      </c>
      <c r="G1" s="18" t="inlineStr">
        <is>
          <t>Launch date</t>
        </is>
      </c>
      <c r="H1" s="18" t="inlineStr">
        <is>
          <t>Card descriptors</t>
        </is>
      </c>
      <c r="I1" s="18" t="inlineStr">
        <is>
          <t>Image alt text</t>
        </is>
      </c>
      <c r="J1" s="18" t="inlineStr">
        <is>
          <t>Tags</t>
        </is>
      </c>
    </row>
    <row r="2">
      <c r="A2" s="24" t="inlineStr">
        <is>
          <t>apple-pie</t>
        </is>
      </c>
      <c r="B2" s="24">
        <f>IF(OR(Products!C2="Inspired by",Products!C2="Layering"),"Inspired","Original")</f>
        <v/>
      </c>
      <c r="C2" s="24">
        <f>"Body Splash"</f>
        <v/>
      </c>
      <c r="D2" s="24">
        <f>C2</f>
        <v/>
      </c>
      <c r="E2" s="24">
        <f>IFERROR(VLOOKUP(Products!I2,MAP_SEASON,2,FALSE),"All season")</f>
        <v/>
      </c>
      <c r="F2" s="24">
        <f>IF(9&gt;=SET_BESTSELLER,"best-seller","")</f>
        <v/>
      </c>
      <c r="G2" s="24" t="inlineStr">
        <is>
          <t>2025-02-22</t>
        </is>
      </c>
      <c r="H2" s="24">
        <f>TEXTJOIN(", ",TRUE,Products!I2,Products!J2,Products!K2)</f>
        <v/>
      </c>
      <c r="I2" s="24">
        <f>TEXTJOIN(" — ",TRUE,Products!B2,Products!P2,C2)&amp;" — Siwa Fragrances"</f>
        <v/>
      </c>
      <c r="J2" s="24">
        <f>TEXTJOIN(", ",TRUE,"line:"&amp;LOWER(SUBSTITUTE(Products!C2," ","-")),IF(F2="","","status:"&amp;F2),IF(Products!O2="","","gender:"&amp;LOWER(Products!O2)),IF(E2="","","season:"&amp;LOWER(E2)))</f>
        <v/>
      </c>
    </row>
    <row r="3">
      <c r="A3" s="24" t="inlineStr">
        <is>
          <t>chocolate-creme</t>
        </is>
      </c>
      <c r="B3" s="24">
        <f>IF(OR(Products!C3="Inspired by",Products!C3="Layering"),"Inspired","Original")</f>
        <v/>
      </c>
      <c r="C3" s="24">
        <f>SET_CONC</f>
        <v/>
      </c>
      <c r="D3" s="24">
        <f>C3</f>
        <v/>
      </c>
      <c r="E3" s="24">
        <f>IFERROR(VLOOKUP(Products!I3,MAP_SEASON,2,FALSE),"All season")</f>
        <v/>
      </c>
      <c r="F3" s="24">
        <f>IF(8&gt;=SET_BESTSELLER,"best-seller","")</f>
        <v/>
      </c>
      <c r="G3" s="24" t="inlineStr">
        <is>
          <t>2024-12-06</t>
        </is>
      </c>
      <c r="H3" s="24">
        <f>TEXTJOIN(", ",TRUE,Products!I3,Products!J3,Products!K3)</f>
        <v/>
      </c>
      <c r="I3" s="24">
        <f>TEXTJOIN(" — ",TRUE,Products!B3,Products!P3,C3)&amp;" — Siwa Fragrances"</f>
        <v/>
      </c>
      <c r="J3" s="24">
        <f>TEXTJOIN(", ",TRUE,"line:"&amp;LOWER(SUBSTITUTE(Products!C3," ","-")),IF(F3="","","status:"&amp;F3),IF(Products!O3="","","gender:"&amp;LOWER(Products!O3)),IF(E3="","","season:"&amp;LOWER(E3)))</f>
        <v/>
      </c>
    </row>
    <row r="4">
      <c r="A4" s="24" t="inlineStr">
        <is>
          <t>coffee-vanilla</t>
        </is>
      </c>
      <c r="B4" s="24">
        <f>IF(OR(Products!C4="Inspired by",Products!C4="Layering"),"Inspired","Original")</f>
        <v/>
      </c>
      <c r="C4" s="24">
        <f>SET_CONC</f>
        <v/>
      </c>
      <c r="D4" s="24">
        <f>C4</f>
        <v/>
      </c>
      <c r="E4" s="24">
        <f>IFERROR(VLOOKUP(Products!I4,MAP_SEASON,2,FALSE),"All season")</f>
        <v/>
      </c>
      <c r="F4" s="24">
        <f>IF(18&gt;=SET_BESTSELLER,"best-seller","")</f>
        <v/>
      </c>
      <c r="G4" s="24" t="inlineStr">
        <is>
          <t>2024-10-21</t>
        </is>
      </c>
      <c r="H4" s="24">
        <f>TEXTJOIN(", ",TRUE,Products!I4,Products!J4,Products!K4)</f>
        <v/>
      </c>
      <c r="I4" s="24">
        <f>TEXTJOIN(" — ",TRUE,Products!B4,Products!P4,C4)&amp;" — Siwa Fragrances"</f>
        <v/>
      </c>
      <c r="J4" s="24">
        <f>TEXTJOIN(", ",TRUE,"line:"&amp;LOWER(SUBSTITUTE(Products!C4," ","-")),IF(F4="","","status:"&amp;F4),IF(Products!O4="","","gender:"&amp;LOWER(Products!O4)),IF(E4="","","season:"&amp;LOWER(E4)))</f>
        <v/>
      </c>
    </row>
    <row r="5">
      <c r="A5" s="24" t="inlineStr">
        <is>
          <t>gourmet</t>
        </is>
      </c>
      <c r="B5" s="24">
        <f>IF(OR(Products!C5="Inspired by",Products!C5="Layering"),"Inspired","Original")</f>
        <v/>
      </c>
      <c r="C5" s="24">
        <f>SET_CONC</f>
        <v/>
      </c>
      <c r="D5" s="24">
        <f>C5</f>
        <v/>
      </c>
      <c r="E5" s="24">
        <f>IFERROR(VLOOKUP(Products!I5,MAP_SEASON,2,FALSE),"All season")</f>
        <v/>
      </c>
      <c r="F5" s="24">
        <f>IF(6&gt;=SET_BESTSELLER,"best-seller","")</f>
        <v/>
      </c>
      <c r="G5" s="24" t="inlineStr">
        <is>
          <t>2025-01-09</t>
        </is>
      </c>
      <c r="H5" s="24">
        <f>TEXTJOIN(", ",TRUE,Products!I5,Products!J5,Products!K5)</f>
        <v/>
      </c>
      <c r="I5" s="24">
        <f>TEXTJOIN(" — ",TRUE,Products!B5,Products!P5,C5)&amp;" — Siwa Fragrances"</f>
        <v/>
      </c>
      <c r="J5" s="24">
        <f>TEXTJOIN(", ",TRUE,"line:"&amp;LOWER(SUBSTITUTE(Products!C5," ","-")),IF(F5="","","status:"&amp;F5),IF(Products!O5="","","gender:"&amp;LOWER(Products!O5)),IF(E5="","","season:"&amp;LOWER(E5)))</f>
        <v/>
      </c>
    </row>
    <row r="6">
      <c r="A6" s="24" t="inlineStr">
        <is>
          <t>irresistible-vanilla</t>
        </is>
      </c>
      <c r="B6" s="24">
        <f>IF(OR(Products!C6="Inspired by",Products!C6="Layering"),"Inspired","Original")</f>
        <v/>
      </c>
      <c r="C6" s="24">
        <f>SET_CONC</f>
        <v/>
      </c>
      <c r="D6" s="24">
        <f>C6</f>
        <v/>
      </c>
      <c r="E6" s="24">
        <f>IFERROR(VLOOKUP(Products!I6,MAP_SEASON,2,FALSE),"All season")</f>
        <v/>
      </c>
      <c r="F6" s="24">
        <f>IF(18&gt;=SET_BESTSELLER,"best-seller","")</f>
        <v/>
      </c>
      <c r="G6" s="24" t="inlineStr">
        <is>
          <t>2023-05-30</t>
        </is>
      </c>
      <c r="H6" s="24">
        <f>TEXTJOIN(", ",TRUE,Products!I6,Products!J6,Products!K6)</f>
        <v/>
      </c>
      <c r="I6" s="24">
        <f>TEXTJOIN(" — ",TRUE,Products!B6,Products!P6,C6)&amp;" — Siwa Fragrances"</f>
        <v/>
      </c>
      <c r="J6" s="24">
        <f>TEXTJOIN(", ",TRUE,"line:"&amp;LOWER(SUBSTITUTE(Products!C6," ","-")),IF(F6="","","status:"&amp;F6),IF(Products!O6="","","gender:"&amp;LOWER(Products!O6)),IF(E6="","","season:"&amp;LOWER(E6)))</f>
        <v/>
      </c>
    </row>
    <row r="7">
      <c r="A7" s="24" t="inlineStr">
        <is>
          <t>layering-30-ml-bundle</t>
        </is>
      </c>
      <c r="B7" s="24">
        <f>IF(OR(Products!C7="Inspired by",Products!C7="Layering"),"Inspired","Original")</f>
        <v/>
      </c>
      <c r="C7" s="24">
        <f>"Bundle"</f>
        <v/>
      </c>
      <c r="D7" s="24">
        <f>C7</f>
        <v/>
      </c>
      <c r="E7" s="24">
        <f>IFERROR(VLOOKUP(Products!I7,MAP_SEASON,2,FALSE),"All season")</f>
        <v/>
      </c>
      <c r="F7" s="24">
        <f>IF(3&gt;=SET_BESTSELLER,"best-seller","")</f>
        <v/>
      </c>
      <c r="G7" s="24" t="inlineStr">
        <is>
          <t>2024-11-14</t>
        </is>
      </c>
      <c r="H7" s="24">
        <f>TEXTJOIN(", ",TRUE,Products!I7,Products!J7,Products!K7)</f>
        <v/>
      </c>
      <c r="I7" s="24">
        <f>TEXTJOIN(" — ",TRUE,Products!B7,Products!P7,C7)&amp;" — Siwa Fragrances"</f>
        <v/>
      </c>
      <c r="J7" s="24">
        <f>TEXTJOIN(", ",TRUE,"line:"&amp;LOWER(SUBSTITUTE(Products!C7," ","-")),IF(F7="","","status:"&amp;F7),IF(Products!O7="","","gender:"&amp;LOWER(Products!O7)),IF(E7="","","season:"&amp;LOWER(E7)))</f>
        <v/>
      </c>
    </row>
    <row r="8">
      <c r="A8" s="24" t="inlineStr">
        <is>
          <t>marshmallow</t>
        </is>
      </c>
      <c r="B8" s="24">
        <f>IF(OR(Products!C8="Inspired by",Products!C8="Layering"),"Inspired","Original")</f>
        <v/>
      </c>
      <c r="C8" s="24">
        <f>"Body Splash"</f>
        <v/>
      </c>
      <c r="D8" s="24">
        <f>C8</f>
        <v/>
      </c>
      <c r="E8" s="24">
        <f>IFERROR(VLOOKUP(Products!I8,MAP_SEASON,2,FALSE),"All season")</f>
        <v/>
      </c>
      <c r="F8" s="24">
        <f>IF(5&gt;=SET_BESTSELLER,"best-seller","")</f>
        <v/>
      </c>
      <c r="G8" s="24" t="inlineStr">
        <is>
          <t>2025-05-06</t>
        </is>
      </c>
      <c r="H8" s="24">
        <f>TEXTJOIN(", ",TRUE,Products!I8,Products!J8,Products!K8)</f>
        <v/>
      </c>
      <c r="I8" s="24">
        <f>TEXTJOIN(" — ",TRUE,Products!B8,Products!P8,C8)&amp;" — Siwa Fragrances"</f>
        <v/>
      </c>
      <c r="J8" s="24">
        <f>TEXTJOIN(", ",TRUE,"line:"&amp;LOWER(SUBSTITUTE(Products!C8," ","-")),IF(F8="","","status:"&amp;F8),IF(Products!O8="","","gender:"&amp;LOWER(Products!O8)),IF(E8="","","season:"&amp;LOWER(E8)))</f>
        <v/>
      </c>
    </row>
    <row r="9">
      <c r="A9" s="24" t="inlineStr">
        <is>
          <t>marshmallow-bundle</t>
        </is>
      </c>
      <c r="B9" s="24">
        <f>IF(OR(Products!C9="Inspired by",Products!C9="Layering"),"Inspired","Original")</f>
        <v/>
      </c>
      <c r="C9" s="24">
        <f>"Bundle"</f>
        <v/>
      </c>
      <c r="D9" s="24">
        <f>C9</f>
        <v/>
      </c>
      <c r="E9" s="24">
        <f>IFERROR(VLOOKUP(Products!I9,MAP_SEASON,2,FALSE),"All season")</f>
        <v/>
      </c>
      <c r="F9" s="24">
        <f>IF(4&gt;=SET_BESTSELLER,"best-seller","")</f>
        <v/>
      </c>
      <c r="G9" s="24" t="inlineStr">
        <is>
          <t>2025-05-17</t>
        </is>
      </c>
      <c r="H9" s="24">
        <f>TEXTJOIN(", ",TRUE,Products!I9,Products!J9,Products!K9)</f>
        <v/>
      </c>
      <c r="I9" s="24">
        <f>TEXTJOIN(" — ",TRUE,Products!B9,Products!P9,C9)&amp;" — Siwa Fragrances"</f>
        <v/>
      </c>
      <c r="J9" s="24">
        <f>TEXTJOIN(", ",TRUE,"line:"&amp;LOWER(SUBSTITUTE(Products!C9," ","-")),IF(F9="","","status:"&amp;F9),IF(Products!O9="","","gender:"&amp;LOWER(Products!O9)),IF(E9="","","season:"&amp;LOWER(E9)))</f>
        <v/>
      </c>
    </row>
    <row r="10">
      <c r="A10" s="24" t="inlineStr">
        <is>
          <t>mawj</t>
        </is>
      </c>
      <c r="B10" s="24">
        <f>IF(OR(Products!C10="Inspired by",Products!C10="Layering"),"Inspired","Original")</f>
        <v/>
      </c>
      <c r="C10" s="24">
        <f>SET_CONC</f>
        <v/>
      </c>
      <c r="D10" s="24">
        <f>C10</f>
        <v/>
      </c>
      <c r="E10" s="24">
        <f>IFERROR(VLOOKUP(Products!I10,MAP_SEASON,2,FALSE),"All season")</f>
        <v/>
      </c>
      <c r="F10" s="24">
        <f>IF(68&gt;=SET_BESTSELLER,"best-seller","")</f>
        <v/>
      </c>
      <c r="G10" s="24" t="inlineStr">
        <is>
          <t>2022-06-29</t>
        </is>
      </c>
      <c r="H10" s="24">
        <f>TEXTJOIN(", ",TRUE,Products!I10,Products!J10,Products!K10)</f>
        <v/>
      </c>
      <c r="I10" s="24">
        <f>TEXTJOIN(" — ",TRUE,Products!B10,Products!P10,C10)&amp;" — Siwa Fragrances"</f>
        <v/>
      </c>
      <c r="J10" s="24">
        <f>TEXTJOIN(", ",TRUE,"line:"&amp;LOWER(SUBSTITUTE(Products!C10," ","-")),IF(F10="","","status:"&amp;F10),IF(Products!O10="","","gender:"&amp;LOWER(Products!O10)),IF(E10="","","season:"&amp;LOWER(E10)))</f>
        <v/>
      </c>
    </row>
    <row r="11">
      <c r="A11" s="24" t="inlineStr">
        <is>
          <t>pink-allure</t>
        </is>
      </c>
      <c r="B11" s="24">
        <f>IF(OR(Products!C11="Inspired by",Products!C11="Layering"),"Inspired","Original")</f>
        <v/>
      </c>
      <c r="C11" s="24">
        <f>SET_CONC</f>
        <v/>
      </c>
      <c r="D11" s="24">
        <f>C11</f>
        <v/>
      </c>
      <c r="E11" s="24">
        <f>IFERROR(VLOOKUP(Products!I11,MAP_SEASON,2,FALSE),"All season")</f>
        <v/>
      </c>
      <c r="F11" s="24">
        <f>IF(14&gt;=SET_BESTSELLER,"best-seller","")</f>
        <v/>
      </c>
      <c r="G11" s="24" t="inlineStr">
        <is>
          <t>2026-04-24</t>
        </is>
      </c>
      <c r="H11" s="24">
        <f>TEXTJOIN(", ",TRUE,Products!I11,Products!J11,Products!K11)</f>
        <v/>
      </c>
      <c r="I11" s="24">
        <f>TEXTJOIN(" — ",TRUE,Products!B11,Products!P11,C11)&amp;" — Siwa Fragrances"</f>
        <v/>
      </c>
      <c r="J11" s="24">
        <f>TEXTJOIN(", ",TRUE,"line:"&amp;LOWER(SUBSTITUTE(Products!C11," ","-")),IF(F11="","","status:"&amp;F11),IF(Products!O11="","","gender:"&amp;LOWER(Products!O11)),IF(E11="","","season:"&amp;LOWER(E11)))</f>
        <v/>
      </c>
    </row>
    <row r="12">
      <c r="A12" s="24" t="inlineStr">
        <is>
          <t>pink-arrogance</t>
        </is>
      </c>
      <c r="B12" s="24">
        <f>IF(OR(Products!C12="Inspired by",Products!C12="Layering"),"Inspired","Original")</f>
        <v/>
      </c>
      <c r="C12" s="24">
        <f>SET_CONC</f>
        <v/>
      </c>
      <c r="D12" s="24">
        <f>C12</f>
        <v/>
      </c>
      <c r="E12" s="24">
        <f>IFERROR(VLOOKUP(Products!I12,MAP_SEASON,2,FALSE),"All season")</f>
        <v/>
      </c>
      <c r="F12" s="24">
        <f>IF(4&gt;=SET_BESTSELLER,"best-seller","")</f>
        <v/>
      </c>
      <c r="G12" s="24" t="inlineStr">
        <is>
          <t>2026-04-24</t>
        </is>
      </c>
      <c r="H12" s="24">
        <f>TEXTJOIN(", ",TRUE,Products!I12,Products!J12,Products!K12)</f>
        <v/>
      </c>
      <c r="I12" s="24">
        <f>TEXTJOIN(" — ",TRUE,Products!B12,Products!P12,C12)&amp;" — Siwa Fragrances"</f>
        <v/>
      </c>
      <c r="J12" s="24">
        <f>TEXTJOIN(", ",TRUE,"line:"&amp;LOWER(SUBSTITUTE(Products!C12," ","-")),IF(F12="","","status:"&amp;F12),IF(Products!O12="","","gender:"&amp;LOWER(Products!O12)),IF(E12="","","season:"&amp;LOWER(E12)))</f>
        <v/>
      </c>
    </row>
    <row r="13">
      <c r="A13" s="24" t="inlineStr">
        <is>
          <t>silk-vanilla</t>
        </is>
      </c>
      <c r="B13" s="24">
        <f>IF(OR(Products!C13="Inspired by",Products!C13="Layering"),"Inspired","Original")</f>
        <v/>
      </c>
      <c r="C13" s="24">
        <f>"Body Splash"</f>
        <v/>
      </c>
      <c r="D13" s="24">
        <f>C13</f>
        <v/>
      </c>
      <c r="E13" s="24">
        <f>IFERROR(VLOOKUP(Products!I13,MAP_SEASON,2,FALSE),"All season")</f>
        <v/>
      </c>
      <c r="F13" s="24">
        <f>IF(13&gt;=SET_BESTSELLER,"best-seller","")</f>
        <v/>
      </c>
      <c r="G13" s="24" t="inlineStr">
        <is>
          <t>2025-02-21</t>
        </is>
      </c>
      <c r="H13" s="24">
        <f>TEXTJOIN(", ",TRUE,Products!I13,Products!J13,Products!K13)</f>
        <v/>
      </c>
      <c r="I13" s="24">
        <f>TEXTJOIN(" — ",TRUE,Products!B13,Products!P13,C13)&amp;" — Siwa Fragrances"</f>
        <v/>
      </c>
      <c r="J13" s="24">
        <f>TEXTJOIN(", ",TRUE,"line:"&amp;LOWER(SUBSTITUTE(Products!C13," ","-")),IF(F13="","","status:"&amp;F13),IF(Products!O13="","","gender:"&amp;LOWER(Products!O13)),IF(E13="","","season:"&amp;LOWER(E13)))</f>
        <v/>
      </c>
    </row>
    <row r="14">
      <c r="A14" s="24" t="inlineStr">
        <is>
          <t>silk-vanilla-body-lotion</t>
        </is>
      </c>
      <c r="B14" s="24">
        <f>IF(OR(Products!C14="Inspired by",Products!C14="Layering"),"Inspired","Original")</f>
        <v/>
      </c>
      <c r="C14" s="24">
        <f>"Body Lotion"</f>
        <v/>
      </c>
      <c r="D14" s="24">
        <f>C14</f>
        <v/>
      </c>
      <c r="E14" s="24">
        <f>IFERROR(VLOOKUP(Products!I14,MAP_SEASON,2,FALSE),"All season")</f>
        <v/>
      </c>
      <c r="F14" s="24">
        <f>IF(7&gt;=SET_BESTSELLER,"best-seller","")</f>
        <v/>
      </c>
      <c r="G14" s="24" t="inlineStr">
        <is>
          <t>2025-09-29</t>
        </is>
      </c>
      <c r="H14" s="24">
        <f>TEXTJOIN(", ",TRUE,Products!I14,Products!J14,Products!K14)</f>
        <v/>
      </c>
      <c r="I14" s="24">
        <f>TEXTJOIN(" — ",TRUE,Products!B14,Products!P14,C14)&amp;" — Siwa Fragrances"</f>
        <v/>
      </c>
      <c r="J14" s="24">
        <f>TEXTJOIN(", ",TRUE,"line:"&amp;LOWER(SUBSTITUTE(Products!C14," ","-")),IF(F14="","","status:"&amp;F14),IF(Products!O14="","","gender:"&amp;LOWER(Products!O14)),IF(E14="","","season:"&amp;LOWER(E14)))</f>
        <v/>
      </c>
    </row>
    <row r="15">
      <c r="A15" s="24" t="inlineStr">
        <is>
          <t>sweet-rum</t>
        </is>
      </c>
      <c r="B15" s="24">
        <f>IF(OR(Products!C15="Inspired by",Products!C15="Layering"),"Inspired","Original")</f>
        <v/>
      </c>
      <c r="C15" s="24">
        <f>"Body Splash"</f>
        <v/>
      </c>
      <c r="D15" s="24">
        <f>C15</f>
        <v/>
      </c>
      <c r="E15" s="24">
        <f>IFERROR(VLOOKUP(Products!I15,MAP_SEASON,2,FALSE),"All season")</f>
        <v/>
      </c>
      <c r="F15" s="24">
        <f>IF(7&gt;=SET_BESTSELLER,"best-seller","")</f>
        <v/>
      </c>
      <c r="G15" s="24" t="inlineStr">
        <is>
          <t>2025-03-02</t>
        </is>
      </c>
      <c r="H15" s="24">
        <f>TEXTJOIN(", ",TRUE,Products!I15,Products!J15,Products!K15)</f>
        <v/>
      </c>
      <c r="I15" s="24">
        <f>TEXTJOIN(" — ",TRUE,Products!B15,Products!P15,C15)&amp;" — Siwa Fragrances"</f>
        <v/>
      </c>
      <c r="J15" s="24">
        <f>TEXTJOIN(", ",TRUE,"line:"&amp;LOWER(SUBSTITUTE(Products!C15," ","-")),IF(F15="","","status:"&amp;F15),IF(Products!O15="","","gender:"&amp;LOWER(Products!O15)),IF(E15="","","season:"&amp;LOWER(E15)))</f>
        <v/>
      </c>
    </row>
    <row r="16">
      <c r="A16" s="24" t="inlineStr">
        <is>
          <t>vanilla-91</t>
        </is>
      </c>
      <c r="B16" s="24">
        <f>IF(OR(Products!C16="Inspired by",Products!C16="Layering"),"Inspired","Original")</f>
        <v/>
      </c>
      <c r="C16" s="24">
        <f>"Body Splash"</f>
        <v/>
      </c>
      <c r="D16" s="24">
        <f>C16</f>
        <v/>
      </c>
      <c r="E16" s="24">
        <f>IFERROR(VLOOKUP(Products!I16,MAP_SEASON,2,FALSE),"All season")</f>
        <v/>
      </c>
      <c r="F16" s="24">
        <f>IF(2&gt;=SET_BESTSELLER,"best-seller","")</f>
        <v/>
      </c>
      <c r="G16" s="24" t="inlineStr">
        <is>
          <t>2026-05-16</t>
        </is>
      </c>
      <c r="H16" s="24">
        <f>TEXTJOIN(", ",TRUE,Products!I16,Products!J16,Products!K16)</f>
        <v/>
      </c>
      <c r="I16" s="24">
        <f>TEXTJOIN(" — ",TRUE,Products!B16,Products!P16,C16)&amp;" — Siwa Fragrances"</f>
        <v/>
      </c>
      <c r="J16" s="24">
        <f>TEXTJOIN(", ",TRUE,"line:"&amp;LOWER(SUBSTITUTE(Products!C16," ","-")),IF(F16="","","status:"&amp;F16),IF(Products!O16="","","gender:"&amp;LOWER(Products!O16)),IF(E16="","","season:"&amp;LOWER(E16)))</f>
        <v/>
      </c>
    </row>
    <row r="17">
      <c r="A17" s="24" t="inlineStr">
        <is>
          <t>vanilla-bundle</t>
        </is>
      </c>
      <c r="B17" s="24">
        <f>IF(OR(Products!C17="Inspired by",Products!C17="Layering"),"Inspired","Original")</f>
        <v/>
      </c>
      <c r="C17" s="24">
        <f>"Bundle"</f>
        <v/>
      </c>
      <c r="D17" s="24">
        <f>C17</f>
        <v/>
      </c>
      <c r="E17" s="24">
        <f>IFERROR(VLOOKUP(Products!I17,MAP_SEASON,2,FALSE),"All season")</f>
        <v/>
      </c>
      <c r="F17" s="24">
        <f>IF(11&gt;=SET_BESTSELLER,"best-seller","")</f>
        <v/>
      </c>
      <c r="G17" s="24" t="inlineStr">
        <is>
          <t>2025-07-17</t>
        </is>
      </c>
      <c r="H17" s="24">
        <f>TEXTJOIN(", ",TRUE,Products!I17,Products!J17,Products!K17)</f>
        <v/>
      </c>
      <c r="I17" s="24">
        <f>TEXTJOIN(" — ",TRUE,Products!B17,Products!P17,C17)&amp;" — Siwa Fragrances"</f>
        <v/>
      </c>
      <c r="J17" s="24">
        <f>TEXTJOIN(", ",TRUE,"line:"&amp;LOWER(SUBSTITUTE(Products!C17," ","-")),IF(F17="","","status:"&amp;F17),IF(Products!O17="","","gender:"&amp;LOWER(Products!O17)),IF(E17="","","season:"&amp;LOWER(E17)))</f>
        <v/>
      </c>
    </row>
    <row r="18">
      <c r="A18" s="24" t="inlineStr">
        <is>
          <t>absolute-drunk</t>
        </is>
      </c>
      <c r="B18" s="24">
        <f>IF(OR(Products!C18="Inspired by",Products!C18="Layering"),"Inspired","Original")</f>
        <v/>
      </c>
      <c r="C18" s="24">
        <f>SET_CONC</f>
        <v/>
      </c>
      <c r="D18" s="24">
        <f>C18</f>
        <v/>
      </c>
      <c r="E18" s="24">
        <f>IFERROR(VLOOKUP(Products!I18,MAP_SEASON,2,FALSE),"All season")</f>
        <v/>
      </c>
      <c r="F18" s="24">
        <f>IF(2&gt;=SET_BESTSELLER,"best-seller","")</f>
        <v/>
      </c>
      <c r="G18" s="24" t="inlineStr">
        <is>
          <t>2026-03-14</t>
        </is>
      </c>
      <c r="H18" s="24">
        <f>TEXTJOIN(", ",TRUE,Products!I18,Products!J18,Products!K18)</f>
        <v/>
      </c>
      <c r="I18" s="24">
        <f>TEXTJOIN(" — ",TRUE,Products!B18,Products!P18,C18)&amp;" — Siwa Fragrances"</f>
        <v/>
      </c>
      <c r="J18" s="24">
        <f>TEXTJOIN(", ",TRUE,"line:"&amp;LOWER(SUBSTITUTE(Products!C18," ","-")),IF(F18="","","status:"&amp;F18),IF(Products!O18="","","gender:"&amp;LOWER(Products!O18)),IF(E18="","","season:"&amp;LOWER(E18)))</f>
        <v/>
      </c>
    </row>
    <row r="19">
      <c r="A19" s="24" t="inlineStr">
        <is>
          <t>alluring-rose</t>
        </is>
      </c>
      <c r="B19" s="24">
        <f>IF(OR(Products!C19="Inspired by",Products!C19="Layering"),"Inspired","Original")</f>
        <v/>
      </c>
      <c r="C19" s="24">
        <f>SET_CONC</f>
        <v/>
      </c>
      <c r="D19" s="24">
        <f>C19</f>
        <v/>
      </c>
      <c r="E19" s="24">
        <f>IFERROR(VLOOKUP(Products!I19,MAP_SEASON,2,FALSE),"All season")</f>
        <v/>
      </c>
      <c r="F19" s="24">
        <f>IF(24&gt;=SET_BESTSELLER,"best-seller","")</f>
        <v/>
      </c>
      <c r="G19" s="24" t="inlineStr">
        <is>
          <t>2021-08-20</t>
        </is>
      </c>
      <c r="H19" s="24">
        <f>TEXTJOIN(", ",TRUE,Products!I19,Products!J19,Products!K19)</f>
        <v/>
      </c>
      <c r="I19" s="24">
        <f>TEXTJOIN(" — ",TRUE,Products!B19,Products!P19,C19)&amp;" — Siwa Fragrances"</f>
        <v/>
      </c>
      <c r="J19" s="24">
        <f>TEXTJOIN(", ",TRUE,"line:"&amp;LOWER(SUBSTITUTE(Products!C19," ","-")),IF(F19="","","status:"&amp;F19),IF(Products!O19="","","gender:"&amp;LOWER(Products!O19)),IF(E19="","","season:"&amp;LOWER(E19)))</f>
        <v/>
      </c>
    </row>
    <row r="20">
      <c r="A20" s="24" t="inlineStr">
        <is>
          <t>aurableu</t>
        </is>
      </c>
      <c r="B20" s="24">
        <f>IF(OR(Products!C20="Inspired by",Products!C20="Layering"),"Inspired","Original")</f>
        <v/>
      </c>
      <c r="C20" s="24">
        <f>SET_CONC</f>
        <v/>
      </c>
      <c r="D20" s="24">
        <f>C20</f>
        <v/>
      </c>
      <c r="E20" s="24">
        <f>IFERROR(VLOOKUP(Products!I20,MAP_SEASON,2,FALSE),"All season")</f>
        <v/>
      </c>
      <c r="F20" s="24">
        <f>IF(8&gt;=SET_BESTSELLER,"best-seller","")</f>
        <v/>
      </c>
      <c r="G20" s="24" t="inlineStr">
        <is>
          <t>2026-04-24</t>
        </is>
      </c>
      <c r="H20" s="24">
        <f>TEXTJOIN(", ",TRUE,Products!I20,Products!J20,Products!K20)</f>
        <v/>
      </c>
      <c r="I20" s="24">
        <f>TEXTJOIN(" — ",TRUE,Products!B20,Products!P20,C20)&amp;" — Siwa Fragrances"</f>
        <v/>
      </c>
      <c r="J20" s="24">
        <f>TEXTJOIN(", ",TRUE,"line:"&amp;LOWER(SUBSTITUTE(Products!C20," ","-")),IF(F20="","","status:"&amp;F20),IF(Products!O20="","","gender:"&amp;LOWER(Products!O20)),IF(E20="","","season:"&amp;LOWER(E20)))</f>
        <v/>
      </c>
    </row>
    <row r="21">
      <c r="A21" s="24" t="inlineStr">
        <is>
          <t>bare-glow</t>
        </is>
      </c>
      <c r="B21" s="24">
        <f>IF(OR(Products!C21="Inspired by",Products!C21="Layering"),"Inspired","Original")</f>
        <v/>
      </c>
      <c r="C21" s="24">
        <f>SET_CONC</f>
        <v/>
      </c>
      <c r="D21" s="24">
        <f>C21</f>
        <v/>
      </c>
      <c r="E21" s="24">
        <f>IFERROR(VLOOKUP(Products!I21,MAP_SEASON,2,FALSE),"All season")</f>
        <v/>
      </c>
      <c r="F21" s="24">
        <f>IF(21&gt;=SET_BESTSELLER,"best-seller","")</f>
        <v/>
      </c>
      <c r="G21" s="24" t="inlineStr">
        <is>
          <t>2025-11-05</t>
        </is>
      </c>
      <c r="H21" s="24">
        <f>TEXTJOIN(", ",TRUE,Products!I21,Products!J21,Products!K21)</f>
        <v/>
      </c>
      <c r="I21" s="24">
        <f>TEXTJOIN(" — ",TRUE,Products!B21,Products!P21,C21)&amp;" — Siwa Fragrances"</f>
        <v/>
      </c>
      <c r="J21" s="24">
        <f>TEXTJOIN(", ",TRUE,"line:"&amp;LOWER(SUBSTITUTE(Products!C21," ","-")),IF(F21="","","status:"&amp;F21),IF(Products!O21="","","gender:"&amp;LOWER(Products!O21)),IF(E21="","","season:"&amp;LOWER(E21)))</f>
        <v/>
      </c>
    </row>
    <row r="22">
      <c r="A22" s="24" t="inlineStr">
        <is>
          <t>belle-riche</t>
        </is>
      </c>
      <c r="B22" s="24">
        <f>IF(OR(Products!C22="Inspired by",Products!C22="Layering"),"Inspired","Original")</f>
        <v/>
      </c>
      <c r="C22" s="24">
        <f>SET_CONC</f>
        <v/>
      </c>
      <c r="D22" s="24">
        <f>C22</f>
        <v/>
      </c>
      <c r="E22" s="24">
        <f>IFERROR(VLOOKUP(Products!I22,MAP_SEASON,2,FALSE),"All season")</f>
        <v/>
      </c>
      <c r="F22" s="24">
        <f>IF(4&gt;=SET_BESTSELLER,"best-seller","")</f>
        <v/>
      </c>
      <c r="G22" s="24" t="inlineStr">
        <is>
          <t>2026-01-29</t>
        </is>
      </c>
      <c r="H22" s="24">
        <f>TEXTJOIN(", ",TRUE,Products!I22,Products!J22,Products!K22)</f>
        <v/>
      </c>
      <c r="I22" s="24">
        <f>TEXTJOIN(" — ",TRUE,Products!B22,Products!P22,C22)&amp;" — Siwa Fragrances"</f>
        <v/>
      </c>
      <c r="J22" s="24">
        <f>TEXTJOIN(", ",TRUE,"line:"&amp;LOWER(SUBSTITUTE(Products!C22," ","-")),IF(F22="","","status:"&amp;F22),IF(Products!O22="","","gender:"&amp;LOWER(Products!O22)),IF(E22="","","season:"&amp;LOWER(E22)))</f>
        <v/>
      </c>
    </row>
    <row r="23">
      <c r="A23" s="24" t="inlineStr">
        <is>
          <t>bleu-exclusive</t>
        </is>
      </c>
      <c r="B23" s="24">
        <f>IF(OR(Products!C23="Inspired by",Products!C23="Layering"),"Inspired","Original")</f>
        <v/>
      </c>
      <c r="C23" s="24">
        <f>SET_CONC</f>
        <v/>
      </c>
      <c r="D23" s="24">
        <f>C23</f>
        <v/>
      </c>
      <c r="E23" s="24">
        <f>IFERROR(VLOOKUP(Products!I23,MAP_SEASON,2,FALSE),"All season")</f>
        <v/>
      </c>
      <c r="F23" s="24">
        <f>IF(19&gt;=SET_BESTSELLER,"best-seller","")</f>
        <v/>
      </c>
      <c r="G23" s="24" t="inlineStr">
        <is>
          <t>2026-02-27</t>
        </is>
      </c>
      <c r="H23" s="24">
        <f>TEXTJOIN(", ",TRUE,Products!I23,Products!J23,Products!K23)</f>
        <v/>
      </c>
      <c r="I23" s="24">
        <f>TEXTJOIN(" — ",TRUE,Products!B23,Products!P23,C23)&amp;" — Siwa Fragrances"</f>
        <v/>
      </c>
      <c r="J23" s="24">
        <f>TEXTJOIN(", ",TRUE,"line:"&amp;LOWER(SUBSTITUTE(Products!C23," ","-")),IF(F23="","","status:"&amp;F23),IF(Products!O23="","","gender:"&amp;LOWER(Products!O23)),IF(E23="","","season:"&amp;LOWER(E23)))</f>
        <v/>
      </c>
    </row>
    <row r="24">
      <c r="A24" s="24" t="inlineStr">
        <is>
          <t>bleu-intense</t>
        </is>
      </c>
      <c r="B24" s="24">
        <f>IF(OR(Products!C24="Inspired by",Products!C24="Layering"),"Inspired","Original")</f>
        <v/>
      </c>
      <c r="C24" s="24">
        <f>SET_CONC</f>
        <v/>
      </c>
      <c r="D24" s="24">
        <f>C24</f>
        <v/>
      </c>
      <c r="E24" s="24">
        <f>IFERROR(VLOOKUP(Products!I24,MAP_SEASON,2,FALSE),"All season")</f>
        <v/>
      </c>
      <c r="F24" s="24">
        <f>IF(7&gt;=SET_BESTSELLER,"best-seller","")</f>
        <v/>
      </c>
      <c r="G24" s="24" t="inlineStr">
        <is>
          <t>2025-10-21</t>
        </is>
      </c>
      <c r="H24" s="24">
        <f>TEXTJOIN(", ",TRUE,Products!I24,Products!J24,Products!K24)</f>
        <v/>
      </c>
      <c r="I24" s="24">
        <f>TEXTJOIN(" — ",TRUE,Products!B24,Products!P24,C24)&amp;" — Siwa Fragrances"</f>
        <v/>
      </c>
      <c r="J24" s="24">
        <f>TEXTJOIN(", ",TRUE,"line:"&amp;LOWER(SUBSTITUTE(Products!C24," ","-")),IF(F24="","","status:"&amp;F24),IF(Products!O24="","","gender:"&amp;LOWER(Products!O24)),IF(E24="","","season:"&amp;LOWER(E24)))</f>
        <v/>
      </c>
    </row>
    <row r="25">
      <c r="A25" s="24" t="inlineStr">
        <is>
          <t>boujee-blush</t>
        </is>
      </c>
      <c r="B25" s="24">
        <f>IF(OR(Products!C25="Inspired by",Products!C25="Layering"),"Inspired","Original")</f>
        <v/>
      </c>
      <c r="C25" s="24">
        <f>SET_CONC</f>
        <v/>
      </c>
      <c r="D25" s="24">
        <f>C25</f>
        <v/>
      </c>
      <c r="E25" s="24">
        <f>IFERROR(VLOOKUP(Products!I25,MAP_SEASON,2,FALSE),"All season")</f>
        <v/>
      </c>
      <c r="F25" s="24">
        <f>IF(59&gt;=SET_BESTSELLER,"best-seller","")</f>
        <v/>
      </c>
      <c r="G25" s="24" t="inlineStr">
        <is>
          <t>2025-04-25</t>
        </is>
      </c>
      <c r="H25" s="24">
        <f>TEXTJOIN(", ",TRUE,Products!I25,Products!J25,Products!K25)</f>
        <v/>
      </c>
      <c r="I25" s="24">
        <f>TEXTJOIN(" — ",TRUE,Products!B25,Products!P25,C25)&amp;" — Siwa Fragrances"</f>
        <v/>
      </c>
      <c r="J25" s="24">
        <f>TEXTJOIN(", ",TRUE,"line:"&amp;LOWER(SUBSTITUTE(Products!C25," ","-")),IF(F25="","","status:"&amp;F25),IF(Products!O25="","","gender:"&amp;LOWER(Products!O25)),IF(E25="","","season:"&amp;LOWER(E25)))</f>
        <v/>
      </c>
    </row>
    <row r="26">
      <c r="A26" s="24" t="inlineStr">
        <is>
          <t>caramel-vanigliato</t>
        </is>
      </c>
      <c r="B26" s="24">
        <f>IF(OR(Products!C26="Inspired by",Products!C26="Layering"),"Inspired","Original")</f>
        <v/>
      </c>
      <c r="C26" s="24">
        <f>SET_CONC</f>
        <v/>
      </c>
      <c r="D26" s="24">
        <f>C26</f>
        <v/>
      </c>
      <c r="E26" s="24">
        <f>IFERROR(VLOOKUP(Products!I26,MAP_SEASON,2,FALSE),"All season")</f>
        <v/>
      </c>
      <c r="F26" s="24">
        <f>IF(43&gt;=SET_BESTSELLER,"best-seller","")</f>
        <v/>
      </c>
      <c r="G26" s="24" t="inlineStr">
        <is>
          <t>2024-10-08</t>
        </is>
      </c>
      <c r="H26" s="24">
        <f>TEXTJOIN(", ",TRUE,Products!I26,Products!J26,Products!K26)</f>
        <v/>
      </c>
      <c r="I26" s="24">
        <f>TEXTJOIN(" — ",TRUE,Products!B26,Products!P26,C26)&amp;" — Siwa Fragrances"</f>
        <v/>
      </c>
      <c r="J26" s="24">
        <f>TEXTJOIN(", ",TRUE,"line:"&amp;LOWER(SUBSTITUTE(Products!C26," ","-")),IF(F26="","","status:"&amp;F26),IF(Products!O26="","","gender:"&amp;LOWER(Products!O26)),IF(E26="","","season:"&amp;LOWER(E26)))</f>
        <v/>
      </c>
    </row>
    <row r="27">
      <c r="A27" s="24" t="inlineStr">
        <is>
          <t>carnal-trail</t>
        </is>
      </c>
      <c r="B27" s="24">
        <f>IF(OR(Products!C27="Inspired by",Products!C27="Layering"),"Inspired","Original")</f>
        <v/>
      </c>
      <c r="C27" s="24">
        <f>SET_CONC</f>
        <v/>
      </c>
      <c r="D27" s="24">
        <f>C27</f>
        <v/>
      </c>
      <c r="E27" s="24">
        <f>IFERROR(VLOOKUP(Products!I27,MAP_SEASON,2,FALSE),"All season")</f>
        <v/>
      </c>
      <c r="F27" s="24">
        <f>IF(10&gt;=SET_BESTSELLER,"best-seller","")</f>
        <v/>
      </c>
      <c r="G27" s="24" t="inlineStr">
        <is>
          <t>2023-09-24</t>
        </is>
      </c>
      <c r="H27" s="24">
        <f>TEXTJOIN(", ",TRUE,Products!I27,Products!J27,Products!K27)</f>
        <v/>
      </c>
      <c r="I27" s="24">
        <f>TEXTJOIN(" — ",TRUE,Products!B27,Products!P27,C27)&amp;" — Siwa Fragrances"</f>
        <v/>
      </c>
      <c r="J27" s="24">
        <f>TEXTJOIN(", ",TRUE,"line:"&amp;LOWER(SUBSTITUTE(Products!C27," ","-")),IF(F27="","","status:"&amp;F27),IF(Products!O27="","","gender:"&amp;LOWER(Products!O27)),IF(E27="","","season:"&amp;LOWER(E27)))</f>
        <v/>
      </c>
    </row>
    <row r="28">
      <c r="A28" s="24" t="inlineStr">
        <is>
          <t>citrine</t>
        </is>
      </c>
      <c r="B28" s="24">
        <f>IF(OR(Products!C28="Inspired by",Products!C28="Layering"),"Inspired","Original")</f>
        <v/>
      </c>
      <c r="C28" s="24">
        <f>SET_CONC</f>
        <v/>
      </c>
      <c r="D28" s="24">
        <f>C28</f>
        <v/>
      </c>
      <c r="E28" s="24">
        <f>IFERROR(VLOOKUP(Products!I28,MAP_SEASON,2,FALSE),"All season")</f>
        <v/>
      </c>
      <c r="F28" s="24">
        <f>IF(20&gt;=SET_BESTSELLER,"best-seller","")</f>
        <v/>
      </c>
      <c r="G28" s="24" t="inlineStr">
        <is>
          <t>2022-04-07</t>
        </is>
      </c>
      <c r="H28" s="24">
        <f>TEXTJOIN(", ",TRUE,Products!I28,Products!J28,Products!K28)</f>
        <v/>
      </c>
      <c r="I28" s="24">
        <f>TEXTJOIN(" — ",TRUE,Products!B28,Products!P28,C28)&amp;" — Siwa Fragrances"</f>
        <v/>
      </c>
      <c r="J28" s="24">
        <f>TEXTJOIN(", ",TRUE,"line:"&amp;LOWER(SUBSTITUTE(Products!C28," ","-")),IF(F28="","","status:"&amp;F28),IF(Products!O28="","","gender:"&amp;LOWER(Products!O28)),IF(E28="","","season:"&amp;LOWER(E28)))</f>
        <v/>
      </c>
    </row>
    <row r="29">
      <c r="A29" s="24" t="inlineStr">
        <is>
          <t>coco-woods</t>
        </is>
      </c>
      <c r="B29" s="24">
        <f>IF(OR(Products!C29="Inspired by",Products!C29="Layering"),"Inspired","Original")</f>
        <v/>
      </c>
      <c r="C29" s="24">
        <f>SET_CONC</f>
        <v/>
      </c>
      <c r="D29" s="24">
        <f>C29</f>
        <v/>
      </c>
      <c r="E29" s="24">
        <f>IFERROR(VLOOKUP(Products!I29,MAP_SEASON,2,FALSE),"All season")</f>
        <v/>
      </c>
      <c r="F29" s="24">
        <f>IF(16&gt;=SET_BESTSELLER,"best-seller","")</f>
        <v/>
      </c>
      <c r="G29" s="24" t="inlineStr">
        <is>
          <t>2024-07-08</t>
        </is>
      </c>
      <c r="H29" s="24">
        <f>TEXTJOIN(", ",TRUE,Products!I29,Products!J29,Products!K29)</f>
        <v/>
      </c>
      <c r="I29" s="24">
        <f>TEXTJOIN(" — ",TRUE,Products!B29,Products!P29,C29)&amp;" — Siwa Fragrances"</f>
        <v/>
      </c>
      <c r="J29" s="24">
        <f>TEXTJOIN(", ",TRUE,"line:"&amp;LOWER(SUBSTITUTE(Products!C29," ","-")),IF(F29="","","status:"&amp;F29),IF(Products!O29="","","gender:"&amp;LOWER(Products!O29)),IF(E29="","","season:"&amp;LOWER(E29)))</f>
        <v/>
      </c>
    </row>
    <row r="30">
      <c r="A30" s="24" t="inlineStr">
        <is>
          <t>drunk-gold</t>
        </is>
      </c>
      <c r="B30" s="24">
        <f>IF(OR(Products!C30="Inspired by",Products!C30="Layering"),"Inspired","Original")</f>
        <v/>
      </c>
      <c r="C30" s="24">
        <f>SET_CONC</f>
        <v/>
      </c>
      <c r="D30" s="24">
        <f>C30</f>
        <v/>
      </c>
      <c r="E30" s="24">
        <f>IFERROR(VLOOKUP(Products!I30,MAP_SEASON,2,FALSE),"All season")</f>
        <v/>
      </c>
      <c r="F30" s="24">
        <f>IF(46&gt;=SET_BESTSELLER,"best-seller","")</f>
        <v/>
      </c>
      <c r="G30" s="24" t="inlineStr">
        <is>
          <t>2025-06-24</t>
        </is>
      </c>
      <c r="H30" s="24">
        <f>TEXTJOIN(", ",TRUE,Products!I30,Products!J30,Products!K30)</f>
        <v/>
      </c>
      <c r="I30" s="24">
        <f>TEXTJOIN(" — ",TRUE,Products!B30,Products!P30,C30)&amp;" — Siwa Fragrances"</f>
        <v/>
      </c>
      <c r="J30" s="24">
        <f>TEXTJOIN(", ",TRUE,"line:"&amp;LOWER(SUBSTITUTE(Products!C30," ","-")),IF(F30="","","status:"&amp;F30),IF(Products!O30="","","gender:"&amp;LOWER(Products!O30)),IF(E30="","","season:"&amp;LOWER(E30)))</f>
        <v/>
      </c>
    </row>
    <row r="31">
      <c r="A31" s="24" t="inlineStr">
        <is>
          <t>hibiscusex</t>
        </is>
      </c>
      <c r="B31" s="24">
        <f>IF(OR(Products!C31="Inspired by",Products!C31="Layering"),"Inspired","Original")</f>
        <v/>
      </c>
      <c r="C31" s="24">
        <f>SET_CONC</f>
        <v/>
      </c>
      <c r="D31" s="24">
        <f>C31</f>
        <v/>
      </c>
      <c r="E31" s="24">
        <f>IFERROR(VLOOKUP(Products!I31,MAP_SEASON,2,FALSE),"All season")</f>
        <v/>
      </c>
      <c r="F31" s="24">
        <f>IF(56&gt;=SET_BESTSELLER,"best-seller","")</f>
        <v/>
      </c>
      <c r="G31" s="24" t="inlineStr">
        <is>
          <t>2024-05-10</t>
        </is>
      </c>
      <c r="H31" s="24">
        <f>TEXTJOIN(", ",TRUE,Products!I31,Products!J31,Products!K31)</f>
        <v/>
      </c>
      <c r="I31" s="24">
        <f>TEXTJOIN(" — ",TRUE,Products!B31,Products!P31,C31)&amp;" — Siwa Fragrances"</f>
        <v/>
      </c>
      <c r="J31" s="24">
        <f>TEXTJOIN(", ",TRUE,"line:"&amp;LOWER(SUBSTITUTE(Products!C31," ","-")),IF(F31="","","status:"&amp;F31),IF(Products!O31="","","gender:"&amp;LOWER(Products!O31)),IF(E31="","","season:"&amp;LOWER(E31)))</f>
        <v/>
      </c>
    </row>
    <row r="32">
      <c r="A32" s="24" t="inlineStr">
        <is>
          <t>hot-male</t>
        </is>
      </c>
      <c r="B32" s="24">
        <f>IF(OR(Products!C32="Inspired by",Products!C32="Layering"),"Inspired","Original")</f>
        <v/>
      </c>
      <c r="C32" s="24">
        <f>SET_CONC</f>
        <v/>
      </c>
      <c r="D32" s="24">
        <f>C32</f>
        <v/>
      </c>
      <c r="E32" s="24">
        <f>IFERROR(VLOOKUP(Products!I32,MAP_SEASON,2,FALSE),"All season")</f>
        <v/>
      </c>
      <c r="F32" s="24">
        <f>IF(9&gt;=SET_BESTSELLER,"best-seller","")</f>
        <v/>
      </c>
      <c r="G32" s="24" t="inlineStr">
        <is>
          <t>2024-06-14</t>
        </is>
      </c>
      <c r="H32" s="24">
        <f>TEXTJOIN(", ",TRUE,Products!I32,Products!J32,Products!K32)</f>
        <v/>
      </c>
      <c r="I32" s="24">
        <f>TEXTJOIN(" — ",TRUE,Products!B32,Products!P32,C32)&amp;" — Siwa Fragrances"</f>
        <v/>
      </c>
      <c r="J32" s="24">
        <f>TEXTJOIN(", ",TRUE,"line:"&amp;LOWER(SUBSTITUTE(Products!C32," ","-")),IF(F32="","","status:"&amp;F32),IF(Products!O32="","","gender:"&amp;LOWER(Products!O32)),IF(E32="","","season:"&amp;LOWER(E32)))</f>
        <v/>
      </c>
    </row>
    <row r="33">
      <c r="A33" s="24" t="inlineStr">
        <is>
          <t>hot-vanilla</t>
        </is>
      </c>
      <c r="B33" s="24">
        <f>IF(OR(Products!C33="Inspired by",Products!C33="Layering"),"Inspired","Original")</f>
        <v/>
      </c>
      <c r="C33" s="24">
        <f>SET_CONC</f>
        <v/>
      </c>
      <c r="D33" s="24">
        <f>C33</f>
        <v/>
      </c>
      <c r="E33" s="24">
        <f>IFERROR(VLOOKUP(Products!I33,MAP_SEASON,2,FALSE),"All season")</f>
        <v/>
      </c>
      <c r="F33" s="24">
        <f>IF(12&gt;=SET_BESTSELLER,"best-seller","")</f>
        <v/>
      </c>
      <c r="G33" s="24" t="inlineStr">
        <is>
          <t>2023-11-26</t>
        </is>
      </c>
      <c r="H33" s="24">
        <f>TEXTJOIN(", ",TRUE,Products!I33,Products!J33,Products!K33)</f>
        <v/>
      </c>
      <c r="I33" s="24">
        <f>TEXTJOIN(" — ",TRUE,Products!B33,Products!P33,C33)&amp;" — Siwa Fragrances"</f>
        <v/>
      </c>
      <c r="J33" s="24">
        <f>TEXTJOIN(", ",TRUE,"line:"&amp;LOWER(SUBSTITUTE(Products!C33," ","-")),IF(F33="","","status:"&amp;F33),IF(Products!O33="","","gender:"&amp;LOWER(Products!O33)),IF(E33="","","season:"&amp;LOWER(E33)))</f>
        <v/>
      </c>
    </row>
    <row r="34">
      <c r="A34" s="24" t="inlineStr">
        <is>
          <t>insane-pineapple</t>
        </is>
      </c>
      <c r="B34" s="24">
        <f>IF(OR(Products!C34="Inspired by",Products!C34="Layering"),"Inspired","Original")</f>
        <v/>
      </c>
      <c r="C34" s="24">
        <f>SET_CONC</f>
        <v/>
      </c>
      <c r="D34" s="24">
        <f>C34</f>
        <v/>
      </c>
      <c r="E34" s="24">
        <f>IFERROR(VLOOKUP(Products!I34,MAP_SEASON,2,FALSE),"All season")</f>
        <v/>
      </c>
      <c r="F34" s="24">
        <f>IF(5&gt;=SET_BESTSELLER,"best-seller","")</f>
        <v/>
      </c>
      <c r="G34" s="24" t="inlineStr">
        <is>
          <t>2023-09-21</t>
        </is>
      </c>
      <c r="H34" s="24">
        <f>TEXTJOIN(", ",TRUE,Products!I34,Products!J34,Products!K34)</f>
        <v/>
      </c>
      <c r="I34" s="24">
        <f>TEXTJOIN(" — ",TRUE,Products!B34,Products!P34,C34)&amp;" — Siwa Fragrances"</f>
        <v/>
      </c>
      <c r="J34" s="24">
        <f>TEXTJOIN(", ",TRUE,"line:"&amp;LOWER(SUBSTITUTE(Products!C34," ","-")),IF(F34="","","status:"&amp;F34),IF(Products!O34="","","gender:"&amp;LOWER(Products!O34)),IF(E34="","","season:"&amp;LOWER(E34)))</f>
        <v/>
      </c>
    </row>
    <row r="35">
      <c r="A35" s="24" t="inlineStr">
        <is>
          <t>iris-elixir</t>
        </is>
      </c>
      <c r="B35" s="24">
        <f>IF(OR(Products!C35="Inspired by",Products!C35="Layering"),"Inspired","Original")</f>
        <v/>
      </c>
      <c r="C35" s="24">
        <f>SET_CONC</f>
        <v/>
      </c>
      <c r="D35" s="24">
        <f>C35</f>
        <v/>
      </c>
      <c r="E35" s="24">
        <f>IFERROR(VLOOKUP(Products!I35,MAP_SEASON,2,FALSE),"All season")</f>
        <v/>
      </c>
      <c r="F35" s="24">
        <f>IF(6&gt;=SET_BESTSELLER,"best-seller","")</f>
        <v/>
      </c>
      <c r="G35" s="24" t="inlineStr">
        <is>
          <t>2024-06-14</t>
        </is>
      </c>
      <c r="H35" s="24">
        <f>TEXTJOIN(", ",TRUE,Products!I35,Products!J35,Products!K35)</f>
        <v/>
      </c>
      <c r="I35" s="24">
        <f>TEXTJOIN(" — ",TRUE,Products!B35,Products!P35,C35)&amp;" — Siwa Fragrances"</f>
        <v/>
      </c>
      <c r="J35" s="24">
        <f>TEXTJOIN(", ",TRUE,"line:"&amp;LOWER(SUBSTITUTE(Products!C35," ","-")),IF(F35="","","status:"&amp;F35),IF(Products!O35="","","gender:"&amp;LOWER(Products!O35)),IF(E35="","","season:"&amp;LOWER(E35)))</f>
        <v/>
      </c>
    </row>
    <row r="36">
      <c r="A36" s="24" t="inlineStr">
        <is>
          <t>lady-killer</t>
        </is>
      </c>
      <c r="B36" s="24">
        <f>IF(OR(Products!C36="Inspired by",Products!C36="Layering"),"Inspired","Original")</f>
        <v/>
      </c>
      <c r="C36" s="24">
        <f>SET_CONC</f>
        <v/>
      </c>
      <c r="D36" s="24">
        <f>C36</f>
        <v/>
      </c>
      <c r="E36" s="24">
        <f>IFERROR(VLOOKUP(Products!I36,MAP_SEASON,2,FALSE),"All season")</f>
        <v/>
      </c>
      <c r="F36" s="24">
        <f>IF(26&gt;=SET_BESTSELLER,"best-seller","")</f>
        <v/>
      </c>
      <c r="G36" s="24" t="inlineStr">
        <is>
          <t>2023-08-04</t>
        </is>
      </c>
      <c r="H36" s="24">
        <f>TEXTJOIN(", ",TRUE,Products!I36,Products!J36,Products!K36)</f>
        <v/>
      </c>
      <c r="I36" s="24">
        <f>TEXTJOIN(" — ",TRUE,Products!B36,Products!P36,C36)&amp;" — Siwa Fragrances"</f>
        <v/>
      </c>
      <c r="J36" s="24">
        <f>TEXTJOIN(", ",TRUE,"line:"&amp;LOWER(SUBSTITUTE(Products!C36," ","-")),IF(F36="","","status:"&amp;F36),IF(Products!O36="","","gender:"&amp;LOWER(Products!O36)),IF(E36="","","season:"&amp;LOWER(E36)))</f>
        <v/>
      </c>
    </row>
    <row r="37">
      <c r="A37" s="24" t="inlineStr">
        <is>
          <t>lagoon-flair</t>
        </is>
      </c>
      <c r="B37" s="24">
        <f>IF(OR(Products!C37="Inspired by",Products!C37="Layering"),"Inspired","Original")</f>
        <v/>
      </c>
      <c r="C37" s="24">
        <f>SET_CONC</f>
        <v/>
      </c>
      <c r="D37" s="24">
        <f>C37</f>
        <v/>
      </c>
      <c r="E37" s="24">
        <f>IFERROR(VLOOKUP(Products!I37,MAP_SEASON,2,FALSE),"All season")</f>
        <v/>
      </c>
      <c r="F37" s="24">
        <f>IF(13&gt;=SET_BESTSELLER,"best-seller","")</f>
        <v/>
      </c>
      <c r="G37" s="24" t="inlineStr">
        <is>
          <t>2025-04-25</t>
        </is>
      </c>
      <c r="H37" s="24">
        <f>TEXTJOIN(", ",TRUE,Products!I37,Products!J37,Products!K37)</f>
        <v/>
      </c>
      <c r="I37" s="24">
        <f>TEXTJOIN(" — ",TRUE,Products!B37,Products!P37,C37)&amp;" — Siwa Fragrances"</f>
        <v/>
      </c>
      <c r="J37" s="24">
        <f>TEXTJOIN(", ",TRUE,"line:"&amp;LOWER(SUBSTITUTE(Products!C37," ","-")),IF(F37="","","status:"&amp;F37),IF(Products!O37="","","gender:"&amp;LOWER(Products!O37)),IF(E37="","","season:"&amp;LOWER(E37)))</f>
        <v/>
      </c>
    </row>
    <row r="38">
      <c r="A38" s="24" t="inlineStr">
        <is>
          <t>layering-apple</t>
        </is>
      </c>
      <c r="B38" s="24">
        <f>IF(OR(Products!C38="Inspired by",Products!C38="Layering"),"Inspired","Original")</f>
        <v/>
      </c>
      <c r="C38" s="24">
        <f>SET_CONC</f>
        <v/>
      </c>
      <c r="D38" s="24">
        <f>C38</f>
        <v/>
      </c>
      <c r="E38" s="24">
        <f>IFERROR(VLOOKUP(Products!I38,MAP_SEASON,2,FALSE),"All season")</f>
        <v/>
      </c>
      <c r="F38" s="24">
        <f>IF(1&gt;=SET_BESTSELLER,"best-seller","")</f>
        <v/>
      </c>
      <c r="G38" s="24" t="inlineStr">
        <is>
          <t>2024-10-21</t>
        </is>
      </c>
      <c r="H38" s="24">
        <f>TEXTJOIN(", ",TRUE,Products!I38,Products!J38,Products!K38)</f>
        <v/>
      </c>
      <c r="I38" s="24">
        <f>TEXTJOIN(" — ",TRUE,Products!B38,Products!P38,C38)&amp;" — Siwa Fragrances"</f>
        <v/>
      </c>
      <c r="J38" s="24">
        <f>TEXTJOIN(", ",TRUE,"line:"&amp;LOWER(SUBSTITUTE(Products!C38," ","-")),IF(F38="","","status:"&amp;F38),IF(Products!O38="","","gender:"&amp;LOWER(Products!O38)),IF(E38="","","season:"&amp;LOWER(E38)))</f>
        <v/>
      </c>
    </row>
    <row r="39">
      <c r="A39" s="24" t="inlineStr">
        <is>
          <t>layering-lychee</t>
        </is>
      </c>
      <c r="B39" s="24">
        <f>IF(OR(Products!C39="Inspired by",Products!C39="Layering"),"Inspired","Original")</f>
        <v/>
      </c>
      <c r="C39" s="24">
        <f>SET_CONC</f>
        <v/>
      </c>
      <c r="D39" s="24">
        <f>C39</f>
        <v/>
      </c>
      <c r="E39" s="24">
        <f>IFERROR(VLOOKUP(Products!I39,MAP_SEASON,2,FALSE),"All season")</f>
        <v/>
      </c>
      <c r="F39" s="24">
        <f>IF(6&gt;=SET_BESTSELLER,"best-seller","")</f>
        <v/>
      </c>
      <c r="G39" s="24" t="inlineStr">
        <is>
          <t>2024-04-03</t>
        </is>
      </c>
      <c r="H39" s="24">
        <f>TEXTJOIN(", ",TRUE,Products!I39,Products!J39,Products!K39)</f>
        <v/>
      </c>
      <c r="I39" s="24">
        <f>TEXTJOIN(" — ",TRUE,Products!B39,Products!P39,C39)&amp;" — Siwa Fragrances"</f>
        <v/>
      </c>
      <c r="J39" s="24">
        <f>TEXTJOIN(", ",TRUE,"line:"&amp;LOWER(SUBSTITUTE(Products!C39," ","-")),IF(F39="","","status:"&amp;F39),IF(Products!O39="","","gender:"&amp;LOWER(Products!O39)),IF(E39="","","season:"&amp;LOWER(E39)))</f>
        <v/>
      </c>
    </row>
    <row r="40">
      <c r="A40" s="24" t="inlineStr">
        <is>
          <t>layering-pistachio</t>
        </is>
      </c>
      <c r="B40" s="24">
        <f>IF(OR(Products!C40="Inspired by",Products!C40="Layering"),"Inspired","Original")</f>
        <v/>
      </c>
      <c r="C40" s="24">
        <f>SET_CONC</f>
        <v/>
      </c>
      <c r="D40" s="24">
        <f>C40</f>
        <v/>
      </c>
      <c r="E40" s="24">
        <f>IFERROR(VLOOKUP(Products!I40,MAP_SEASON,2,FALSE),"All season")</f>
        <v/>
      </c>
      <c r="F40" s="24">
        <f>IF(10&gt;=SET_BESTSELLER,"best-seller","")</f>
        <v/>
      </c>
      <c r="G40" s="24" t="inlineStr">
        <is>
          <t>2023-10-27</t>
        </is>
      </c>
      <c r="H40" s="24">
        <f>TEXTJOIN(", ",TRUE,Products!I40,Products!J40,Products!K40)</f>
        <v/>
      </c>
      <c r="I40" s="24">
        <f>TEXTJOIN(" — ",TRUE,Products!B40,Products!P40,C40)&amp;" — Siwa Fragrances"</f>
        <v/>
      </c>
      <c r="J40" s="24">
        <f>TEXTJOIN(", ",TRUE,"line:"&amp;LOWER(SUBSTITUTE(Products!C40," ","-")),IF(F40="","","status:"&amp;F40),IF(Products!O40="","","gender:"&amp;LOWER(Products!O40)),IF(E40="","","season:"&amp;LOWER(E40)))</f>
        <v/>
      </c>
    </row>
    <row r="41">
      <c r="A41" s="24" t="inlineStr">
        <is>
          <t>layering-vanilla</t>
        </is>
      </c>
      <c r="B41" s="24">
        <f>IF(OR(Products!C41="Inspired by",Products!C41="Layering"),"Inspired","Original")</f>
        <v/>
      </c>
      <c r="C41" s="24">
        <f>SET_CONC</f>
        <v/>
      </c>
      <c r="D41" s="24">
        <f>C41</f>
        <v/>
      </c>
      <c r="E41" s="24">
        <f>IFERROR(VLOOKUP(Products!I41,MAP_SEASON,2,FALSE),"All season")</f>
        <v/>
      </c>
      <c r="F41" s="24">
        <f>IF(98&gt;=SET_BESTSELLER,"best-seller","")</f>
        <v/>
      </c>
      <c r="G41" s="24" t="inlineStr">
        <is>
          <t>2023-10-20</t>
        </is>
      </c>
      <c r="H41" s="24">
        <f>TEXTJOIN(", ",TRUE,Products!I41,Products!J41,Products!K41)</f>
        <v/>
      </c>
      <c r="I41" s="24">
        <f>TEXTJOIN(" — ",TRUE,Products!B41,Products!P41,C41)&amp;" — Siwa Fragrances"</f>
        <v/>
      </c>
      <c r="J41" s="24">
        <f>TEXTJOIN(", ",TRUE,"line:"&amp;LOWER(SUBSTITUTE(Products!C41," ","-")),IF(F41="","","status:"&amp;F41),IF(Products!O41="","","gender:"&amp;LOWER(Products!O41)),IF(E41="","","season:"&amp;LOWER(E41)))</f>
        <v/>
      </c>
    </row>
    <row r="42">
      <c r="A42" s="24" t="inlineStr">
        <is>
          <t>libre-desire</t>
        </is>
      </c>
      <c r="B42" s="24">
        <f>IF(OR(Products!C42="Inspired by",Products!C42="Layering"),"Inspired","Original")</f>
        <v/>
      </c>
      <c r="C42" s="24">
        <f>SET_CONC</f>
        <v/>
      </c>
      <c r="D42" s="24">
        <f>C42</f>
        <v/>
      </c>
      <c r="E42" s="24">
        <f>IFERROR(VLOOKUP(Products!I42,MAP_SEASON,2,FALSE),"All season")</f>
        <v/>
      </c>
      <c r="F42" s="24">
        <f>IF(7&gt;=SET_BESTSELLER,"best-seller","")</f>
        <v/>
      </c>
      <c r="G42" s="24" t="inlineStr">
        <is>
          <t>2025-03-11</t>
        </is>
      </c>
      <c r="H42" s="24">
        <f>TEXTJOIN(", ",TRUE,Products!I42,Products!J42,Products!K42)</f>
        <v/>
      </c>
      <c r="I42" s="24">
        <f>TEXTJOIN(" — ",TRUE,Products!B42,Products!P42,C42)&amp;" — Siwa Fragrances"</f>
        <v/>
      </c>
      <c r="J42" s="24">
        <f>TEXTJOIN(", ",TRUE,"line:"&amp;LOWER(SUBSTITUTE(Products!C42," ","-")),IF(F42="","","status:"&amp;F42),IF(Products!O42="","","gender:"&amp;LOWER(Products!O42)),IF(E42="","","season:"&amp;LOWER(E42)))</f>
        <v/>
      </c>
    </row>
    <row r="43">
      <c r="A43" s="24" t="inlineStr">
        <is>
          <t>lost-on-you</t>
        </is>
      </c>
      <c r="B43" s="24">
        <f>IF(OR(Products!C43="Inspired by",Products!C43="Layering"),"Inspired","Original")</f>
        <v/>
      </c>
      <c r="C43" s="24">
        <f>SET_CONC</f>
        <v/>
      </c>
      <c r="D43" s="24">
        <f>C43</f>
        <v/>
      </c>
      <c r="E43" s="24">
        <f>IFERROR(VLOOKUP(Products!I43,MAP_SEASON,2,FALSE),"All season")</f>
        <v/>
      </c>
      <c r="F43" s="24">
        <f>IF(4&gt;=SET_BESTSELLER,"best-seller","")</f>
        <v/>
      </c>
      <c r="G43" s="24" t="inlineStr">
        <is>
          <t>2026-04-24</t>
        </is>
      </c>
      <c r="H43" s="24">
        <f>TEXTJOIN(", ",TRUE,Products!I43,Products!J43,Products!K43)</f>
        <v/>
      </c>
      <c r="I43" s="24">
        <f>TEXTJOIN(" — ",TRUE,Products!B43,Products!P43,C43)&amp;" — Siwa Fragrances"</f>
        <v/>
      </c>
      <c r="J43" s="24">
        <f>TEXTJOIN(", ",TRUE,"line:"&amp;LOWER(SUBSTITUTE(Products!C43," ","-")),IF(F43="","","status:"&amp;F43),IF(Products!O43="","","gender:"&amp;LOWER(Products!O43)),IF(E43="","","season:"&amp;LOWER(E43)))</f>
        <v/>
      </c>
    </row>
    <row r="44">
      <c r="A44" s="24" t="inlineStr">
        <is>
          <t>luna-di-roma</t>
        </is>
      </c>
      <c r="B44" s="24">
        <f>IF(OR(Products!C44="Inspired by",Products!C44="Layering"),"Inspired","Original")</f>
        <v/>
      </c>
      <c r="C44" s="24">
        <f>SET_CONC</f>
        <v/>
      </c>
      <c r="D44" s="24">
        <f>C44</f>
        <v/>
      </c>
      <c r="E44" s="24">
        <f>IFERROR(VLOOKUP(Products!I44,MAP_SEASON,2,FALSE),"All season")</f>
        <v/>
      </c>
      <c r="F44" s="24">
        <f>IF(9&gt;=SET_BESTSELLER,"best-seller","")</f>
        <v/>
      </c>
      <c r="G44" s="24" t="inlineStr">
        <is>
          <t>2024-08-14</t>
        </is>
      </c>
      <c r="H44" s="24">
        <f>TEXTJOIN(", ",TRUE,Products!I44,Products!J44,Products!K44)</f>
        <v/>
      </c>
      <c r="I44" s="24">
        <f>TEXTJOIN(" — ",TRUE,Products!B44,Products!P44,C44)&amp;" — Siwa Fragrances"</f>
        <v/>
      </c>
      <c r="J44" s="24">
        <f>TEXTJOIN(", ",TRUE,"line:"&amp;LOWER(SUBSTITUTE(Products!C44," ","-")),IF(F44="","","status:"&amp;F44),IF(Products!O44="","","gender:"&amp;LOWER(Products!O44)),IF(E44="","","season:"&amp;LOWER(E44)))</f>
        <v/>
      </c>
    </row>
    <row r="45">
      <c r="A45" s="24" t="inlineStr">
        <is>
          <t>male-elixir</t>
        </is>
      </c>
      <c r="B45" s="24">
        <f>IF(OR(Products!C45="Inspired by",Products!C45="Layering"),"Inspired","Original")</f>
        <v/>
      </c>
      <c r="C45" s="24">
        <f>SET_CONC</f>
        <v/>
      </c>
      <c r="D45" s="24">
        <f>C45</f>
        <v/>
      </c>
      <c r="E45" s="24">
        <f>IFERROR(VLOOKUP(Products!I45,MAP_SEASON,2,FALSE),"All season")</f>
        <v/>
      </c>
      <c r="F45" s="24">
        <f>IF(11&gt;=SET_BESTSELLER,"best-seller","")</f>
        <v/>
      </c>
      <c r="G45" s="24" t="inlineStr">
        <is>
          <t>2024-05-04</t>
        </is>
      </c>
      <c r="H45" s="24">
        <f>TEXTJOIN(", ",TRUE,Products!I45,Products!J45,Products!K45)</f>
        <v/>
      </c>
      <c r="I45" s="24">
        <f>TEXTJOIN(" — ",TRUE,Products!B45,Products!P45,C45)&amp;" — Siwa Fragrances"</f>
        <v/>
      </c>
      <c r="J45" s="24">
        <f>TEXTJOIN(", ",TRUE,"line:"&amp;LOWER(SUBSTITUTE(Products!C45," ","-")),IF(F45="","","status:"&amp;F45),IF(Products!O45="","","gender:"&amp;LOWER(Products!O45)),IF(E45="","","season:"&amp;LOWER(E45)))</f>
        <v/>
      </c>
    </row>
    <row r="46">
      <c r="A46" s="24" t="inlineStr">
        <is>
          <t>mango-on-woods</t>
        </is>
      </c>
      <c r="B46" s="24">
        <f>IF(OR(Products!C46="Inspired by",Products!C46="Layering"),"Inspired","Original")</f>
        <v/>
      </c>
      <c r="C46" s="24">
        <f>SET_CONC</f>
        <v/>
      </c>
      <c r="D46" s="24">
        <f>C46</f>
        <v/>
      </c>
      <c r="E46" s="24">
        <f>IFERROR(VLOOKUP(Products!I46,MAP_SEASON,2,FALSE),"All season")</f>
        <v/>
      </c>
      <c r="F46" s="24">
        <f>IF(1&gt;=SET_BESTSELLER,"best-seller","")</f>
        <v/>
      </c>
      <c r="G46" s="24" t="inlineStr">
        <is>
          <t>2023-10-06</t>
        </is>
      </c>
      <c r="H46" s="24">
        <f>TEXTJOIN(", ",TRUE,Products!I46,Products!J46,Products!K46)</f>
        <v/>
      </c>
      <c r="I46" s="24">
        <f>TEXTJOIN(" — ",TRUE,Products!B46,Products!P46,C46)&amp;" — Siwa Fragrances"</f>
        <v/>
      </c>
      <c r="J46" s="24">
        <f>TEXTJOIN(", ",TRUE,"line:"&amp;LOWER(SUBSTITUTE(Products!C46," ","-")),IF(F46="","","status:"&amp;F46),IF(Products!O46="","","gender:"&amp;LOWER(Products!O46)),IF(E46="","","season:"&amp;LOWER(E46)))</f>
        <v/>
      </c>
    </row>
    <row r="47">
      <c r="A47" s="24" t="inlineStr">
        <is>
          <t>mango-pineapple</t>
        </is>
      </c>
      <c r="B47" s="24">
        <f>IF(OR(Products!C47="Inspired by",Products!C47="Layering"),"Inspired","Original")</f>
        <v/>
      </c>
      <c r="C47" s="24">
        <f>SET_CONC</f>
        <v/>
      </c>
      <c r="D47" s="24">
        <f>C47</f>
        <v/>
      </c>
      <c r="E47" s="24">
        <f>IFERROR(VLOOKUP(Products!I47,MAP_SEASON,2,FALSE),"All season")</f>
        <v/>
      </c>
      <c r="F47" s="24">
        <f>IF(11&gt;=SET_BESTSELLER,"best-seller","")</f>
        <v/>
      </c>
      <c r="G47" s="24" t="inlineStr">
        <is>
          <t>2025-08-16</t>
        </is>
      </c>
      <c r="H47" s="24">
        <f>TEXTJOIN(", ",TRUE,Products!I47,Products!J47,Products!K47)</f>
        <v/>
      </c>
      <c r="I47" s="24">
        <f>TEXTJOIN(" — ",TRUE,Products!B47,Products!P47,C47)&amp;" — Siwa Fragrances"</f>
        <v/>
      </c>
      <c r="J47" s="24">
        <f>TEXTJOIN(", ",TRUE,"line:"&amp;LOWER(SUBSTITUTE(Products!C47," ","-")),IF(F47="","","status:"&amp;F47),IF(Products!O47="","","gender:"&amp;LOWER(Products!O47)),IF(E47="","","season:"&amp;LOWER(E47)))</f>
        <v/>
      </c>
    </row>
    <row r="48">
      <c r="A48" s="24" t="inlineStr">
        <is>
          <t>marasi</t>
        </is>
      </c>
      <c r="B48" s="24">
        <f>IF(OR(Products!C48="Inspired by",Products!C48="Layering"),"Inspired","Original")</f>
        <v/>
      </c>
      <c r="C48" s="24">
        <f>SET_CONC</f>
        <v/>
      </c>
      <c r="D48" s="24">
        <f>C48</f>
        <v/>
      </c>
      <c r="E48" s="24">
        <f>IFERROR(VLOOKUP(Products!I48,MAP_SEASON,2,FALSE),"All season")</f>
        <v/>
      </c>
      <c r="F48" s="24">
        <f>IF(23&gt;=SET_BESTSELLER,"best-seller","")</f>
        <v/>
      </c>
      <c r="G48" s="24" t="inlineStr">
        <is>
          <t>2024-05-21</t>
        </is>
      </c>
      <c r="H48" s="24">
        <f>TEXTJOIN(", ",TRUE,Products!I48,Products!J48,Products!K48)</f>
        <v/>
      </c>
      <c r="I48" s="24">
        <f>TEXTJOIN(" — ",TRUE,Products!B48,Products!P48,C48)&amp;" — Siwa Fragrances"</f>
        <v/>
      </c>
      <c r="J48" s="24">
        <f>TEXTJOIN(", ",TRUE,"line:"&amp;LOWER(SUBSTITUTE(Products!C48," ","-")),IF(F48="","","status:"&amp;F48),IF(Products!O48="","","gender:"&amp;LOWER(Products!O48)),IF(E48="","","season:"&amp;LOWER(E48)))</f>
        <v/>
      </c>
    </row>
    <row r="49">
      <c r="A49" s="24" t="inlineStr">
        <is>
          <t>pacific-elixir</t>
        </is>
      </c>
      <c r="B49" s="24">
        <f>IF(OR(Products!C49="Inspired by",Products!C49="Layering"),"Inspired","Original")</f>
        <v/>
      </c>
      <c r="C49" s="24">
        <f>SET_CONC</f>
        <v/>
      </c>
      <c r="D49" s="24">
        <f>C49</f>
        <v/>
      </c>
      <c r="E49" s="24">
        <f>IFERROR(VLOOKUP(Products!I49,MAP_SEASON,2,FALSE),"All season")</f>
        <v/>
      </c>
      <c r="F49" s="24">
        <f>IF(7&gt;=SET_BESTSELLER,"best-seller","")</f>
        <v/>
      </c>
      <c r="G49" s="24" t="inlineStr">
        <is>
          <t>2023-10-06</t>
        </is>
      </c>
      <c r="H49" s="24">
        <f>TEXTJOIN(", ",TRUE,Products!I49,Products!J49,Products!K49)</f>
        <v/>
      </c>
      <c r="I49" s="24">
        <f>TEXTJOIN(" — ",TRUE,Products!B49,Products!P49,C49)&amp;" — Siwa Fragrances"</f>
        <v/>
      </c>
      <c r="J49" s="24">
        <f>TEXTJOIN(", ",TRUE,"line:"&amp;LOWER(SUBSTITUTE(Products!C49," ","-")),IF(F49="","","status:"&amp;F49),IF(Products!O49="","","gender:"&amp;LOWER(Products!O49)),IF(E49="","","season:"&amp;LOWER(E49)))</f>
        <v/>
      </c>
    </row>
    <row r="50">
      <c r="A50" s="24" t="inlineStr">
        <is>
          <t>siwa-trail</t>
        </is>
      </c>
      <c r="B50" s="24">
        <f>IF(OR(Products!C50="Inspired by",Products!C50="Layering"),"Inspired","Original")</f>
        <v/>
      </c>
      <c r="C50" s="24">
        <f>SET_CONC</f>
        <v/>
      </c>
      <c r="D50" s="24">
        <f>C50</f>
        <v/>
      </c>
      <c r="E50" s="24">
        <f>IFERROR(VLOOKUP(Products!I50,MAP_SEASON,2,FALSE),"All season")</f>
        <v/>
      </c>
      <c r="F50" s="24">
        <f>IF(5&gt;=SET_BESTSELLER,"best-seller","")</f>
        <v/>
      </c>
      <c r="G50" s="24" t="inlineStr">
        <is>
          <t>2026-04-25</t>
        </is>
      </c>
      <c r="H50" s="24">
        <f>TEXTJOIN(", ",TRUE,Products!I50,Products!J50,Products!K50)</f>
        <v/>
      </c>
      <c r="I50" s="24">
        <f>TEXTJOIN(" — ",TRUE,Products!B50,Products!P50,C50)&amp;" — Siwa Fragrances"</f>
        <v/>
      </c>
      <c r="J50" s="24">
        <f>TEXTJOIN(", ",TRUE,"line:"&amp;LOWER(SUBSTITUTE(Products!C50," ","-")),IF(F50="","","status:"&amp;F50),IF(Products!O50="","","gender:"&amp;LOWER(Products!O50)),IF(E50="","","season:"&amp;LOWER(E50)))</f>
        <v/>
      </c>
    </row>
    <row r="51">
      <c r="A51" s="24" t="inlineStr">
        <is>
          <t>soiree</t>
        </is>
      </c>
      <c r="B51" s="24">
        <f>IF(OR(Products!C51="Inspired by",Products!C51="Layering"),"Inspired","Original")</f>
        <v/>
      </c>
      <c r="C51" s="24">
        <f>SET_CONC</f>
        <v/>
      </c>
      <c r="D51" s="24">
        <f>C51</f>
        <v/>
      </c>
      <c r="E51" s="24">
        <f>IFERROR(VLOOKUP(Products!I51,MAP_SEASON,2,FALSE),"All season")</f>
        <v/>
      </c>
      <c r="F51" s="24">
        <f>IF(0&gt;=SET_BESTSELLER,"best-seller","")</f>
        <v/>
      </c>
      <c r="G51" s="24" t="inlineStr">
        <is>
          <t>2022-04-05</t>
        </is>
      </c>
      <c r="H51" s="24">
        <f>TEXTJOIN(", ",TRUE,Products!I51,Products!J51,Products!K51)</f>
        <v/>
      </c>
      <c r="I51" s="24">
        <f>TEXTJOIN(" — ",TRUE,Products!B51,Products!P51,C51)&amp;" — Siwa Fragrances"</f>
        <v/>
      </c>
      <c r="J51" s="24">
        <f>TEXTJOIN(", ",TRUE,"line:"&amp;LOWER(SUBSTITUTE(Products!C51," ","-")),IF(F51="","","status:"&amp;F51),IF(Products!O51="","","gender:"&amp;LOWER(Products!O51)),IF(E51="","","season:"&amp;LOWER(E51)))</f>
        <v/>
      </c>
    </row>
    <row r="52">
      <c r="A52" s="24" t="inlineStr">
        <is>
          <t>soul-poudree</t>
        </is>
      </c>
      <c r="B52" s="24">
        <f>IF(OR(Products!C52="Inspired by",Products!C52="Layering"),"Inspired","Original")</f>
        <v/>
      </c>
      <c r="C52" s="24">
        <f>SET_CONC</f>
        <v/>
      </c>
      <c r="D52" s="24">
        <f>C52</f>
        <v/>
      </c>
      <c r="E52" s="24">
        <f>IFERROR(VLOOKUP(Products!I52,MAP_SEASON,2,FALSE),"All season")</f>
        <v/>
      </c>
      <c r="F52" s="24">
        <f>IF(11&gt;=SET_BESTSELLER,"best-seller","")</f>
        <v/>
      </c>
      <c r="G52" s="24" t="inlineStr">
        <is>
          <t>2024-06-17</t>
        </is>
      </c>
      <c r="H52" s="24">
        <f>TEXTJOIN(", ",TRUE,Products!I52,Products!J52,Products!K52)</f>
        <v/>
      </c>
      <c r="I52" s="24">
        <f>TEXTJOIN(" — ",TRUE,Products!B52,Products!P52,C52)&amp;" — Siwa Fragrances"</f>
        <v/>
      </c>
      <c r="J52" s="24">
        <f>TEXTJOIN(", ",TRUE,"line:"&amp;LOWER(SUBSTITUTE(Products!C52," ","-")),IF(F52="","","status:"&amp;F52),IF(Products!O52="","","gender:"&amp;LOWER(Products!O52)),IF(E52="","","season:"&amp;LOWER(E52)))</f>
        <v/>
      </c>
    </row>
    <row r="53">
      <c r="A53" s="24" t="inlineStr">
        <is>
          <t>stellar-nights</t>
        </is>
      </c>
      <c r="B53" s="24">
        <f>IF(OR(Products!C53="Inspired by",Products!C53="Layering"),"Inspired","Original")</f>
        <v/>
      </c>
      <c r="C53" s="24">
        <f>SET_CONC</f>
        <v/>
      </c>
      <c r="D53" s="24">
        <f>C53</f>
        <v/>
      </c>
      <c r="E53" s="24">
        <f>IFERROR(VLOOKUP(Products!I53,MAP_SEASON,2,FALSE),"All season")</f>
        <v/>
      </c>
      <c r="F53" s="24">
        <f>IF(3&gt;=SET_BESTSELLER,"best-seller","")</f>
        <v/>
      </c>
      <c r="G53" s="24" t="inlineStr">
        <is>
          <t>2023-12-20</t>
        </is>
      </c>
      <c r="H53" s="24">
        <f>TEXTJOIN(", ",TRUE,Products!I53,Products!J53,Products!K53)</f>
        <v/>
      </c>
      <c r="I53" s="24">
        <f>TEXTJOIN(" — ",TRUE,Products!B53,Products!P53,C53)&amp;" — Siwa Fragrances"</f>
        <v/>
      </c>
      <c r="J53" s="24">
        <f>TEXTJOIN(", ",TRUE,"line:"&amp;LOWER(SUBSTITUTE(Products!C53," ","-")),IF(F53="","","status:"&amp;F53),IF(Products!O53="","","gender:"&amp;LOWER(Products!O53)),IF(E53="","","season:"&amp;LOWER(E53)))</f>
        <v/>
      </c>
    </row>
    <row r="54">
      <c r="A54" s="24" t="inlineStr">
        <is>
          <t>summer-elegance</t>
        </is>
      </c>
      <c r="B54" s="24">
        <f>IF(OR(Products!C54="Inspired by",Products!C54="Layering"),"Inspired","Original")</f>
        <v/>
      </c>
      <c r="C54" s="24">
        <f>SET_CONC</f>
        <v/>
      </c>
      <c r="D54" s="24">
        <f>C54</f>
        <v/>
      </c>
      <c r="E54" s="24">
        <f>IFERROR(VLOOKUP(Products!I54,MAP_SEASON,2,FALSE),"All season")</f>
        <v/>
      </c>
      <c r="F54" s="24">
        <f>IF(2&gt;=SET_BESTSELLER,"best-seller","")</f>
        <v/>
      </c>
      <c r="G54" s="24" t="inlineStr">
        <is>
          <t>2023-05-29</t>
        </is>
      </c>
      <c r="H54" s="24">
        <f>TEXTJOIN(", ",TRUE,Products!I54,Products!J54,Products!K54)</f>
        <v/>
      </c>
      <c r="I54" s="24">
        <f>TEXTJOIN(" — ",TRUE,Products!B54,Products!P54,C54)&amp;" — Siwa Fragrances"</f>
        <v/>
      </c>
      <c r="J54" s="24">
        <f>TEXTJOIN(", ",TRUE,"line:"&amp;LOWER(SUBSTITUTE(Products!C54," ","-")),IF(F54="","","status:"&amp;F54),IF(Products!O54="","","gender:"&amp;LOWER(Products!O54)),IF(E54="","","season:"&amp;LOWER(E54)))</f>
        <v/>
      </c>
    </row>
    <row r="55">
      <c r="A55" s="24" t="inlineStr">
        <is>
          <t>summer-holidays</t>
        </is>
      </c>
      <c r="B55" s="24">
        <f>IF(OR(Products!C55="Inspired by",Products!C55="Layering"),"Inspired","Original")</f>
        <v/>
      </c>
      <c r="C55" s="24">
        <f>SET_CONC</f>
        <v/>
      </c>
      <c r="D55" s="24">
        <f>C55</f>
        <v/>
      </c>
      <c r="E55" s="24">
        <f>IFERROR(VLOOKUP(Products!I55,MAP_SEASON,2,FALSE),"All season")</f>
        <v/>
      </c>
      <c r="F55" s="24">
        <f>IF(7&gt;=SET_BESTSELLER,"best-seller","")</f>
        <v/>
      </c>
      <c r="G55" s="24" t="inlineStr">
        <is>
          <t>2022-05-20</t>
        </is>
      </c>
      <c r="H55" s="24">
        <f>TEXTJOIN(", ",TRUE,Products!I55,Products!J55,Products!K55)</f>
        <v/>
      </c>
      <c r="I55" s="24">
        <f>TEXTJOIN(" — ",TRUE,Products!B55,Products!P55,C55)&amp;" — Siwa Fragrances"</f>
        <v/>
      </c>
      <c r="J55" s="24">
        <f>TEXTJOIN(", ",TRUE,"line:"&amp;LOWER(SUBSTITUTE(Products!C55," ","-")),IF(F55="","","status:"&amp;F55),IF(Products!O55="","","gender:"&amp;LOWER(Products!O55)),IF(E55="","","season:"&amp;LOWER(E55)))</f>
        <v/>
      </c>
    </row>
    <row r="56">
      <c r="A56" s="24" t="inlineStr">
        <is>
          <t>sundaze</t>
        </is>
      </c>
      <c r="B56" s="24">
        <f>IF(OR(Products!C56="Inspired by",Products!C56="Layering"),"Inspired","Original")</f>
        <v/>
      </c>
      <c r="C56" s="24">
        <f>SET_CONC</f>
        <v/>
      </c>
      <c r="D56" s="24">
        <f>C56</f>
        <v/>
      </c>
      <c r="E56" s="24">
        <f>IFERROR(VLOOKUP(Products!I56,MAP_SEASON,2,FALSE),"All season")</f>
        <v/>
      </c>
      <c r="F56" s="24">
        <f>IF(0&gt;=SET_BESTSELLER,"best-seller","")</f>
        <v/>
      </c>
      <c r="G56" s="24" t="inlineStr">
        <is>
          <t>2026-07-25</t>
        </is>
      </c>
      <c r="H56" s="24">
        <f>TEXTJOIN(", ",TRUE,Products!I56,Products!J56,Products!K56)</f>
        <v/>
      </c>
      <c r="I56" s="24">
        <f>TEXTJOIN(" — ",TRUE,Products!B56,Products!P56,C56)&amp;" — Siwa Fragrances"</f>
        <v/>
      </c>
      <c r="J56" s="24">
        <f>TEXTJOIN(", ",TRUE,"line:"&amp;LOWER(SUBSTITUTE(Products!C56," ","-")),IF(F56="","","status:"&amp;F56),IF(Products!O56="","","gender:"&amp;LOWER(Products!O56)),IF(E56="","","season:"&amp;LOWER(E56)))</f>
        <v/>
      </c>
    </row>
    <row r="57">
      <c r="A57" s="24" t="inlineStr">
        <is>
          <t>sweet-oud</t>
        </is>
      </c>
      <c r="B57" s="24">
        <f>IF(OR(Products!C57="Inspired by",Products!C57="Layering"),"Inspired","Original")</f>
        <v/>
      </c>
      <c r="C57" s="24">
        <f>SET_CONC</f>
        <v/>
      </c>
      <c r="D57" s="24">
        <f>C57</f>
        <v/>
      </c>
      <c r="E57" s="24">
        <f>IFERROR(VLOOKUP(Products!I57,MAP_SEASON,2,FALSE),"All season")</f>
        <v/>
      </c>
      <c r="F57" s="24">
        <f>IF(1&gt;=SET_BESTSELLER,"best-seller","")</f>
        <v/>
      </c>
      <c r="G57" s="24" t="inlineStr">
        <is>
          <t>2025-03-23</t>
        </is>
      </c>
      <c r="H57" s="24">
        <f>TEXTJOIN(", ",TRUE,Products!I57,Products!J57,Products!K57)</f>
        <v/>
      </c>
      <c r="I57" s="24">
        <f>TEXTJOIN(" — ",TRUE,Products!B57,Products!P57,C57)&amp;" — Siwa Fragrances"</f>
        <v/>
      </c>
      <c r="J57" s="24">
        <f>TEXTJOIN(", ",TRUE,"line:"&amp;LOWER(SUBSTITUTE(Products!C57," ","-")),IF(F57="","","status:"&amp;F57),IF(Products!O57="","","gender:"&amp;LOWER(Products!O57)),IF(E57="","","season:"&amp;LOWER(E57)))</f>
        <v/>
      </c>
    </row>
    <row r="59">
      <c r="A59" s="22" t="inlineStr">
        <is>
          <t>Nothing on this sheet is typed. Each column is a formula over Products, Heritage and Settings — shown rather than hidden, so you can see that dropping those questions did not drop the data. Season comes from Family 1 through the mapping table on Lists; type over a cell to override it.</t>
        </is>
      </c>
    </row>
  </sheetData>
  <sheetProtection selectLockedCells="0" selectUnlockedCells="0" sheet="1" objects="0" insertRows="1" insertHyperlinks="1" autoFilter="1" scenarios="0" formatColumns="1" deleteColumns="1" insertColumns="1" pivotTables="1" deleteRows="1" formatCells="1" formatRows="1" sort="1"/>
  <mergeCells count="1">
    <mergeCell ref="A59:J59"/>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6"/>
  <sheetViews>
    <sheetView workbookViewId="0">
      <pane ySplit="1" topLeftCell="A2" activePane="bottomLeft" state="frozen"/>
      <selection pane="bottomLeft" activeCell="A1" sqref="A1"/>
    </sheetView>
  </sheetViews>
  <sheetFormatPr baseColWidth="8" defaultRowHeight="15"/>
  <cols>
    <col width="18" customWidth="1" min="1" max="1"/>
    <col width="34" customWidth="1" min="2" max="2"/>
    <col width="12" customWidth="1" min="3" max="3"/>
    <col width="12" customWidth="1" min="4" max="4"/>
    <col width="12" customWidth="1" min="5" max="5"/>
  </cols>
  <sheetData>
    <row r="1" ht="26" customHeight="1">
      <c r="A1" s="18" t="inlineStr">
        <is>
          <t>Sheet</t>
        </is>
      </c>
      <c r="B1" s="18" t="inlineStr">
        <is>
          <t>Field</t>
        </is>
      </c>
      <c r="C1" s="18" t="inlineStr">
        <is>
          <t>Needed</t>
        </is>
      </c>
      <c r="D1" s="18" t="inlineStr">
        <is>
          <t>Done</t>
        </is>
      </c>
      <c r="E1" s="18" t="inlineStr">
        <is>
          <t>%</t>
        </is>
      </c>
    </row>
    <row r="2">
      <c r="A2" s="25" t="inlineStr">
        <is>
          <t>Products</t>
        </is>
      </c>
      <c r="B2" s="25" t="inlineStr">
        <is>
          <t>Top notes</t>
        </is>
      </c>
      <c r="C2" s="25" t="n">
        <v>56</v>
      </c>
      <c r="D2" s="25">
        <f>COUNTA('Products'!F2:F57)</f>
        <v/>
      </c>
      <c r="E2" s="26">
        <f>IF(C2=0,0,MIN(1,D2/C2))</f>
        <v/>
      </c>
    </row>
    <row r="3">
      <c r="A3" s="25" t="inlineStr">
        <is>
          <t>Products</t>
        </is>
      </c>
      <c r="B3" s="25" t="inlineStr">
        <is>
          <t>Heart notes</t>
        </is>
      </c>
      <c r="C3" s="25" t="n">
        <v>56</v>
      </c>
      <c r="D3" s="25">
        <f>COUNTA('Products'!G2:G57)</f>
        <v/>
      </c>
      <c r="E3" s="26">
        <f>IF(C3=0,0,MIN(1,D3/C3))</f>
        <v/>
      </c>
    </row>
    <row r="4">
      <c r="A4" s="25" t="inlineStr">
        <is>
          <t>Products</t>
        </is>
      </c>
      <c r="B4" s="25" t="inlineStr">
        <is>
          <t>Base notes</t>
        </is>
      </c>
      <c r="C4" s="25" t="n">
        <v>56</v>
      </c>
      <c r="D4" s="25">
        <f>COUNTA('Products'!H2:H57)</f>
        <v/>
      </c>
      <c r="E4" s="26">
        <f>IF(C4=0,0,MIN(1,D4/C4))</f>
        <v/>
      </c>
    </row>
    <row r="5">
      <c r="A5" s="25" t="inlineStr">
        <is>
          <t>Products</t>
        </is>
      </c>
      <c r="B5" s="25" t="inlineStr">
        <is>
          <t>Family 1</t>
        </is>
      </c>
      <c r="C5" s="25" t="n">
        <v>56</v>
      </c>
      <c r="D5" s="25">
        <f>COUNTA('Products'!I2:I57)</f>
        <v/>
      </c>
      <c r="E5" s="26">
        <f>IF(C5=0,0,MIN(1,D5/C5))</f>
        <v/>
      </c>
    </row>
    <row r="6">
      <c r="A6" s="25" t="inlineStr">
        <is>
          <t>Products</t>
        </is>
      </c>
      <c r="B6" s="25" t="inlineStr">
        <is>
          <t>Intensity</t>
        </is>
      </c>
      <c r="C6" s="25" t="n">
        <v>56</v>
      </c>
      <c r="D6" s="25">
        <f>COUNTA('Products'!L2:L57)</f>
        <v/>
      </c>
      <c r="E6" s="26">
        <f>IF(C6=0,0,MIN(1,D6/C6))</f>
        <v/>
      </c>
    </row>
    <row r="7">
      <c r="A7" s="25" t="inlineStr">
        <is>
          <t>Products</t>
        </is>
      </c>
      <c r="B7" s="25" t="inlineStr">
        <is>
          <t>Sillage</t>
        </is>
      </c>
      <c r="C7" s="25" t="n">
        <v>56</v>
      </c>
      <c r="D7" s="25">
        <f>COUNTA('Products'!M2:M57)</f>
        <v/>
      </c>
      <c r="E7" s="26">
        <f>IF(C7=0,0,MIN(1,D7/C7))</f>
        <v/>
      </c>
    </row>
    <row r="8">
      <c r="A8" s="25" t="inlineStr">
        <is>
          <t>Products</t>
        </is>
      </c>
      <c r="B8" s="25" t="inlineStr">
        <is>
          <t>Lasts (hours)</t>
        </is>
      </c>
      <c r="C8" s="25" t="n">
        <v>56</v>
      </c>
      <c r="D8" s="25">
        <f>COUNTA('Products'!N2:N57)</f>
        <v/>
      </c>
      <c r="E8" s="26">
        <f>IF(C8=0,0,MIN(1,D8/C8))</f>
        <v/>
      </c>
    </row>
    <row r="9">
      <c r="A9" s="25" t="inlineStr">
        <is>
          <t>Products</t>
        </is>
      </c>
      <c r="B9" s="25" t="inlineStr">
        <is>
          <t>Gender</t>
        </is>
      </c>
      <c r="C9" s="25" t="n">
        <v>56</v>
      </c>
      <c r="D9" s="25">
        <f>COUNTA('Products'!O2:O57)</f>
        <v/>
      </c>
      <c r="E9" s="26">
        <f>IF(C9=0,0,MIN(1,D9/C9))</f>
        <v/>
      </c>
    </row>
    <row r="10">
      <c r="A10" s="25" t="inlineStr">
        <is>
          <t>Products</t>
        </is>
      </c>
      <c r="B10" s="25" t="inlineStr">
        <is>
          <t>Arabic name (originals)</t>
        </is>
      </c>
      <c r="C10" s="25" t="n">
        <v>16</v>
      </c>
      <c r="D10" s="25">
        <f>COUNTA('Products'!P2:P17)</f>
        <v/>
      </c>
      <c r="E10" s="26">
        <f>IF(C10=0,0,MIN(1,D10/C10))</f>
        <v/>
      </c>
    </row>
    <row r="11">
      <c r="A11" s="25" t="inlineStr">
        <is>
          <t>Products</t>
        </is>
      </c>
      <c r="B11" s="25" t="inlineStr">
        <is>
          <t>Description (English)</t>
        </is>
      </c>
      <c r="C11" s="25" t="n">
        <v>56</v>
      </c>
      <c r="D11" s="25">
        <f>COUNTA('Products'!Q2:Q57)</f>
        <v/>
      </c>
      <c r="E11" s="26">
        <f>IF(C11=0,0,MIN(1,D11/C11))</f>
        <v/>
      </c>
    </row>
    <row r="12">
      <c r="A12" s="25" t="inlineStr">
        <is>
          <t>Products</t>
        </is>
      </c>
      <c r="B12" s="25" t="inlineStr">
        <is>
          <t>Description (Arabic)</t>
        </is>
      </c>
      <c r="C12" s="25" t="n">
        <v>56</v>
      </c>
      <c r="D12" s="25">
        <f>COUNTA('Products'!R2:R57)</f>
        <v/>
      </c>
      <c r="E12" s="26">
        <f>IF(C12=0,0,MIN(1,D12/C12))</f>
        <v/>
      </c>
    </row>
    <row r="13">
      <c r="A13" s="25" t="inlineStr">
        <is>
          <t>Heritage</t>
        </is>
      </c>
      <c r="B13" s="25" t="inlineStr">
        <is>
          <t>Where it comes from (EN)</t>
        </is>
      </c>
      <c r="C13" s="25" t="n">
        <v>16</v>
      </c>
      <c r="D13" s="25">
        <f>COUNTA('Heritage'!C2:C17)</f>
        <v/>
      </c>
      <c r="E13" s="26">
        <f>IF(C13=0,0,MIN(1,D13/C13))</f>
        <v/>
      </c>
    </row>
    <row r="14">
      <c r="A14" s="25" t="inlineStr">
        <is>
          <t>Heritage</t>
        </is>
      </c>
      <c r="B14" s="25" t="inlineStr">
        <is>
          <t>What the name means (EN)</t>
        </is>
      </c>
      <c r="C14" s="25" t="n">
        <v>16</v>
      </c>
      <c r="D14" s="25">
        <f>COUNTA('Heritage'!I2:I17)</f>
        <v/>
      </c>
      <c r="E14" s="26">
        <f>IF(C14=0,0,MIN(1,D14/C14))</f>
        <v/>
      </c>
    </row>
    <row r="16">
      <c r="A16" s="22" t="inlineStr">
        <is>
          <t>The note rows start above zero because the inspired-by pyramids were researched and filled in for you. Check them before counting them as done.</t>
        </is>
      </c>
    </row>
  </sheetData>
  <sheetProtection selectLockedCells="0" selectUnlockedCells="0" sheet="1" objects="0" insertRows="1" insertHyperlinks="1" autoFilter="1" scenarios="0" formatColumns="1" deleteColumns="1" insertColumns="1" pivotTables="1" deleteRows="1" formatCells="1" formatRows="1" sort="1"/>
  <mergeCells count="1">
    <mergeCell ref="A16:E16"/>
  </mergeCells>
  <conditionalFormatting sqref="E2:E14">
    <cfRule type="cellIs" priority="1" operator="greaterThanOrEqual" dxfId="1">
      <formula>1</formula>
    </cfRule>
    <cfRule type="cellIs" priority="2" operator="lessThan" dxfId="0">
      <formula>0.5</formula>
    </cfRule>
  </conditionalFormatting>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155"/>
  <sheetViews>
    <sheetView showGridLines="0" workbookViewId="0">
      <selection activeCell="A1" sqref="A1"/>
    </sheetView>
  </sheetViews>
  <sheetFormatPr baseColWidth="8" defaultRowHeight="15"/>
  <cols>
    <col width="28" customWidth="1" min="1" max="1"/>
    <col width="8" customWidth="1" min="2" max="2"/>
    <col width="16" customWidth="1" min="3" max="3"/>
    <col width="32" customWidth="1" min="4" max="4"/>
    <col width="16" customWidth="1" min="5" max="5"/>
    <col width="32" customWidth="1" min="6" max="6"/>
    <col width="16" customWidth="1" min="7" max="7"/>
    <col width="6" customWidth="1" min="8" max="8"/>
    <col width="22" customWidth="1" min="9" max="9"/>
    <col width="34" customWidth="1" min="10" max="10"/>
    <col width="10" customWidth="1" min="11" max="11"/>
    <col width="6" customWidth="1" min="12" max="12"/>
    <col width="30" customWidth="1" min="13" max="13"/>
    <col width="20" customWidth="1" min="14" max="14"/>
    <col width="14" customWidth="1" min="15" max="15"/>
  </cols>
  <sheetData>
    <row r="1">
      <c r="A1" s="27" t="inlineStr">
        <is>
          <t>Scent family (Fragrantica accord)</t>
        </is>
      </c>
      <c r="B1" s="28" t="inlineStr">
        <is>
          <t>—</t>
        </is>
      </c>
      <c r="C1" s="27" t="inlineStr">
        <is>
          <t>Intensity</t>
        </is>
      </c>
      <c r="D1" s="28" t="inlineStr">
        <is>
          <t>—</t>
        </is>
      </c>
      <c r="E1" s="27" t="inlineStr">
        <is>
          <t>Sillage</t>
        </is>
      </c>
      <c r="F1" s="28" t="inlineStr">
        <is>
          <t>—</t>
        </is>
      </c>
      <c r="G1" s="27" t="inlineStr">
        <is>
          <t>Gender</t>
        </is>
      </c>
      <c r="H1" s="28" t="inlineStr">
        <is>
          <t>—</t>
        </is>
      </c>
      <c r="I1" s="27" t="inlineStr">
        <is>
          <t>Concentration</t>
        </is>
      </c>
      <c r="J1" s="28" t="inlineStr">
        <is>
          <t>—</t>
        </is>
      </c>
      <c r="K1" s="27" t="inlineStr">
        <is>
          <t>Yes / No</t>
        </is>
      </c>
      <c r="L1" s="28" t="inlineStr">
        <is>
          <t>—</t>
        </is>
      </c>
      <c r="M1" s="27" t="inlineStr">
        <is>
          <t>Fragrance notes</t>
        </is>
      </c>
      <c r="N1" s="27" t="inlineStr">
        <is>
          <t>Family</t>
        </is>
      </c>
      <c r="O1" s="27" t="inlineStr">
        <is>
          <t>→ Season</t>
        </is>
      </c>
    </row>
    <row r="2">
      <c r="A2" s="29" t="inlineStr">
        <is>
          <t>Amber</t>
        </is>
      </c>
      <c r="B2" s="17" t="inlineStr">
        <is>
          <t>✔</t>
        </is>
      </c>
      <c r="C2" s="29" t="inlineStr">
        <is>
          <t>Subtle</t>
        </is>
      </c>
      <c r="D2" s="17" t="inlineStr">
        <is>
          <t>stays close to the skin</t>
        </is>
      </c>
      <c r="E2" s="29" t="inlineStr">
        <is>
          <t>Subtle</t>
        </is>
      </c>
      <c r="F2" s="17" t="inlineStr">
        <is>
          <t>trail of about an arm's length</t>
        </is>
      </c>
      <c r="G2" s="29" t="inlineStr">
        <is>
          <t>Masculine</t>
        </is>
      </c>
      <c r="H2" s="17" t="inlineStr"/>
      <c r="I2" s="29" t="inlineStr">
        <is>
          <t>Extrait de Parfum</t>
        </is>
      </c>
      <c r="J2" s="17" t="inlineStr">
        <is>
          <t>what the bottles are printed with</t>
        </is>
      </c>
      <c r="K2" s="29" t="inlineStr">
        <is>
          <t>Yes</t>
        </is>
      </c>
      <c r="L2" s="17" t="inlineStr"/>
      <c r="M2" s="29" t="inlineStr">
        <is>
          <t>Akigalawood</t>
        </is>
      </c>
      <c r="N2" s="29" t="inlineStr">
        <is>
          <t>Amber</t>
        </is>
      </c>
      <c r="O2" s="29" t="inlineStr">
        <is>
          <t>Winter</t>
        </is>
      </c>
    </row>
    <row r="3">
      <c r="A3" s="29" t="inlineStr">
        <is>
          <t>Animalic</t>
        </is>
      </c>
      <c r="B3" s="17" t="inlineStr"/>
      <c r="C3" s="29" t="inlineStr">
        <is>
          <t>Distinct</t>
        </is>
      </c>
      <c r="D3" s="17" t="inlineStr">
        <is>
          <t>noticeable without dominating</t>
        </is>
      </c>
      <c r="E3" s="29" t="inlineStr">
        <is>
          <t>Distinct</t>
        </is>
      </c>
      <c r="F3" s="17" t="inlineStr">
        <is>
          <t>trail across a table</t>
        </is>
      </c>
      <c r="G3" s="29" t="inlineStr">
        <is>
          <t>Feminine</t>
        </is>
      </c>
      <c r="H3" s="17" t="inlineStr"/>
      <c r="I3" s="29" t="inlineStr">
        <is>
          <t>Eau de Parfum</t>
        </is>
      </c>
      <c r="J3" s="17" t="inlineStr">
        <is>
          <t>what the website currently says</t>
        </is>
      </c>
      <c r="K3" s="29" t="inlineStr">
        <is>
          <t>No</t>
        </is>
      </c>
      <c r="L3" s="17" t="inlineStr"/>
      <c r="M3" s="29" t="inlineStr">
        <is>
          <t>Amaretto</t>
        </is>
      </c>
      <c r="N3" s="29" t="inlineStr">
        <is>
          <t>Animalic</t>
        </is>
      </c>
      <c r="O3" s="29" t="inlineStr">
        <is>
          <t>Winter</t>
        </is>
      </c>
    </row>
    <row r="4">
      <c r="A4" s="29" t="inlineStr">
        <is>
          <t>Anis</t>
        </is>
      </c>
      <c r="B4" s="17" t="inlineStr"/>
      <c r="C4" s="29" t="inlineStr">
        <is>
          <t>Powerful</t>
        </is>
      </c>
      <c r="D4" s="17" t="inlineStr">
        <is>
          <t>fills the room</t>
        </is>
      </c>
      <c r="E4" s="29" t="inlineStr">
        <is>
          <t>Powerful</t>
        </is>
      </c>
      <c r="F4" s="17" t="inlineStr">
        <is>
          <t>trail across a room</t>
        </is>
      </c>
      <c r="G4" s="29" t="inlineStr">
        <is>
          <t>Unisex</t>
        </is>
      </c>
      <c r="H4" s="17" t="inlineStr"/>
      <c r="M4" s="29" t="inlineStr">
        <is>
          <t>Amber</t>
        </is>
      </c>
      <c r="N4" s="29" t="inlineStr">
        <is>
          <t>Anis</t>
        </is>
      </c>
      <c r="O4" s="29" t="inlineStr">
        <is>
          <t>Autumn</t>
        </is>
      </c>
    </row>
    <row r="5">
      <c r="A5" s="29" t="inlineStr">
        <is>
          <t>Aquatic</t>
        </is>
      </c>
      <c r="B5" s="17" t="inlineStr">
        <is>
          <t>✔</t>
        </is>
      </c>
      <c r="M5" s="29" t="inlineStr">
        <is>
          <t>Ambergris</t>
        </is>
      </c>
      <c r="N5" s="29" t="inlineStr">
        <is>
          <t>Aquatic</t>
        </is>
      </c>
      <c r="O5" s="29" t="inlineStr">
        <is>
          <t>Summer</t>
        </is>
      </c>
    </row>
    <row r="6">
      <c r="A6" s="29" t="inlineStr">
        <is>
          <t>Aromatic</t>
        </is>
      </c>
      <c r="B6" s="17" t="inlineStr">
        <is>
          <t>✔</t>
        </is>
      </c>
      <c r="M6" s="29" t="inlineStr">
        <is>
          <t>Amberwood</t>
        </is>
      </c>
      <c r="N6" s="29" t="inlineStr">
        <is>
          <t>Aromatic</t>
        </is>
      </c>
      <c r="O6" s="29" t="inlineStr">
        <is>
          <t>Spring</t>
        </is>
      </c>
    </row>
    <row r="7">
      <c r="A7" s="29" t="inlineStr">
        <is>
          <t>Balsamic</t>
        </is>
      </c>
      <c r="B7" s="17" t="inlineStr"/>
      <c r="M7" s="29" t="inlineStr">
        <is>
          <t>Ambrette</t>
        </is>
      </c>
      <c r="N7" s="29" t="inlineStr">
        <is>
          <t>Balsamic</t>
        </is>
      </c>
      <c r="O7" s="29" t="inlineStr">
        <is>
          <t>Winter</t>
        </is>
      </c>
    </row>
    <row r="8">
      <c r="A8" s="29" t="inlineStr">
        <is>
          <t>Cacao</t>
        </is>
      </c>
      <c r="B8" s="17" t="inlineStr"/>
      <c r="M8" s="29" t="inlineStr">
        <is>
          <t>Ambroxan</t>
        </is>
      </c>
      <c r="N8" s="29" t="inlineStr">
        <is>
          <t>Cacao</t>
        </is>
      </c>
      <c r="O8" s="29" t="inlineStr">
        <is>
          <t>Winter</t>
        </is>
      </c>
    </row>
    <row r="9">
      <c r="A9" s="29" t="inlineStr">
        <is>
          <t>Caramel</t>
        </is>
      </c>
      <c r="B9" s="17" t="inlineStr"/>
      <c r="M9" s="29" t="inlineStr">
        <is>
          <t>Apple</t>
        </is>
      </c>
      <c r="N9" s="29" t="inlineStr">
        <is>
          <t>Caramel</t>
        </is>
      </c>
      <c r="O9" s="29" t="inlineStr">
        <is>
          <t>Winter</t>
        </is>
      </c>
    </row>
    <row r="10">
      <c r="A10" s="29" t="inlineStr">
        <is>
          <t>Cherry</t>
        </is>
      </c>
      <c r="B10" s="17" t="inlineStr"/>
      <c r="M10" s="29" t="inlineStr">
        <is>
          <t>Apricot</t>
        </is>
      </c>
      <c r="N10" s="29" t="inlineStr">
        <is>
          <t>Cherry</t>
        </is>
      </c>
      <c r="O10" s="29" t="inlineStr">
        <is>
          <t>Winter</t>
        </is>
      </c>
    </row>
    <row r="11">
      <c r="A11" s="29" t="inlineStr">
        <is>
          <t>Chypre</t>
        </is>
      </c>
      <c r="B11" s="17" t="inlineStr">
        <is>
          <t>✔</t>
        </is>
      </c>
      <c r="M11" s="29" t="inlineStr">
        <is>
          <t>Aquatic Notes</t>
        </is>
      </c>
      <c r="N11" s="29" t="inlineStr">
        <is>
          <t>Chypre</t>
        </is>
      </c>
      <c r="O11" s="29" t="inlineStr">
        <is>
          <t>Autumn</t>
        </is>
      </c>
    </row>
    <row r="12">
      <c r="A12" s="29" t="inlineStr">
        <is>
          <t>Cinnamon</t>
        </is>
      </c>
      <c r="B12" s="17" t="inlineStr"/>
      <c r="M12" s="29" t="inlineStr">
        <is>
          <t>Aromatic Notes</t>
        </is>
      </c>
      <c r="N12" s="29" t="inlineStr">
        <is>
          <t>Cinnamon</t>
        </is>
      </c>
      <c r="O12" s="29" t="inlineStr">
        <is>
          <t>Winter</t>
        </is>
      </c>
    </row>
    <row r="13">
      <c r="A13" s="29" t="inlineStr">
        <is>
          <t>Citrus</t>
        </is>
      </c>
      <c r="B13" s="17" t="inlineStr">
        <is>
          <t>✔</t>
        </is>
      </c>
      <c r="M13" s="29" t="inlineStr">
        <is>
          <t>Artemisia</t>
        </is>
      </c>
      <c r="N13" s="29" t="inlineStr">
        <is>
          <t>Citrus</t>
        </is>
      </c>
      <c r="O13" s="29" t="inlineStr">
        <is>
          <t>Summer</t>
        </is>
      </c>
    </row>
    <row r="14">
      <c r="A14" s="29" t="inlineStr">
        <is>
          <t>Coconut</t>
        </is>
      </c>
      <c r="B14" s="17" t="inlineStr">
        <is>
          <t>✔</t>
        </is>
      </c>
      <c r="M14" s="29" t="inlineStr">
        <is>
          <t>Basil</t>
        </is>
      </c>
      <c r="N14" s="29" t="inlineStr">
        <is>
          <t>Coconut</t>
        </is>
      </c>
      <c r="O14" s="29" t="inlineStr">
        <is>
          <t>Summer</t>
        </is>
      </c>
    </row>
    <row r="15">
      <c r="A15" s="29" t="inlineStr">
        <is>
          <t>Conifer</t>
        </is>
      </c>
      <c r="B15" s="17" t="inlineStr"/>
      <c r="M15" s="29" t="inlineStr">
        <is>
          <t>Benzoin</t>
        </is>
      </c>
      <c r="N15" s="29" t="inlineStr">
        <is>
          <t>Conifer</t>
        </is>
      </c>
      <c r="O15" s="29" t="inlineStr">
        <is>
          <t>Autumn</t>
        </is>
      </c>
    </row>
    <row r="16">
      <c r="A16" s="29" t="inlineStr">
        <is>
          <t>Earthy</t>
        </is>
      </c>
      <c r="B16" s="17" t="inlineStr"/>
      <c r="M16" s="29" t="inlineStr">
        <is>
          <t>Bergamot</t>
        </is>
      </c>
      <c r="N16" s="29" t="inlineStr">
        <is>
          <t>Earthy</t>
        </is>
      </c>
      <c r="O16" s="29" t="inlineStr">
        <is>
          <t>Autumn</t>
        </is>
      </c>
    </row>
    <row r="17">
      <c r="A17" s="29" t="inlineStr">
        <is>
          <t>Floral</t>
        </is>
      </c>
      <c r="B17" s="17" t="inlineStr">
        <is>
          <t>✔</t>
        </is>
      </c>
      <c r="M17" s="29" t="inlineStr">
        <is>
          <t>Bitter Orange</t>
        </is>
      </c>
      <c r="N17" s="29" t="inlineStr">
        <is>
          <t>Floral</t>
        </is>
      </c>
      <c r="O17" s="29" t="inlineStr">
        <is>
          <t>Spring</t>
        </is>
      </c>
    </row>
    <row r="18">
      <c r="A18" s="29" t="inlineStr">
        <is>
          <t>Fresh</t>
        </is>
      </c>
      <c r="B18" s="17" t="inlineStr">
        <is>
          <t>✔</t>
        </is>
      </c>
      <c r="M18" s="29" t="inlineStr">
        <is>
          <t>Black Currant</t>
        </is>
      </c>
      <c r="N18" s="29" t="inlineStr">
        <is>
          <t>Fresh</t>
        </is>
      </c>
      <c r="O18" s="29" t="inlineStr">
        <is>
          <t>Summer</t>
        </is>
      </c>
    </row>
    <row r="19">
      <c r="A19" s="29" t="inlineStr">
        <is>
          <t>Fresh Spicy</t>
        </is>
      </c>
      <c r="B19" s="17" t="inlineStr"/>
      <c r="M19" s="29" t="inlineStr">
        <is>
          <t>Black Tea</t>
        </is>
      </c>
      <c r="N19" s="29" t="inlineStr">
        <is>
          <t>Fresh Spicy</t>
        </is>
      </c>
      <c r="O19" s="29" t="inlineStr">
        <is>
          <t>Autumn</t>
        </is>
      </c>
    </row>
    <row r="20">
      <c r="A20" s="29" t="inlineStr">
        <is>
          <t>Fruity</t>
        </is>
      </c>
      <c r="B20" s="17" t="inlineStr">
        <is>
          <t>✔</t>
        </is>
      </c>
      <c r="M20" s="29" t="inlineStr">
        <is>
          <t>Blackcurrant</t>
        </is>
      </c>
      <c r="N20" s="29" t="inlineStr">
        <is>
          <t>Fruity</t>
        </is>
      </c>
      <c r="O20" s="29" t="inlineStr">
        <is>
          <t>Spring</t>
        </is>
      </c>
    </row>
    <row r="21">
      <c r="A21" s="29" t="inlineStr">
        <is>
          <t>Gourmand</t>
        </is>
      </c>
      <c r="B21" s="17" t="inlineStr">
        <is>
          <t>✔</t>
        </is>
      </c>
      <c r="M21" s="29" t="inlineStr">
        <is>
          <t>Blood Orange</t>
        </is>
      </c>
      <c r="N21" s="29" t="inlineStr">
        <is>
          <t>Gourmand</t>
        </is>
      </c>
      <c r="O21" s="29" t="inlineStr">
        <is>
          <t>Winter</t>
        </is>
      </c>
    </row>
    <row r="22">
      <c r="A22" s="29" t="inlineStr">
        <is>
          <t>Green</t>
        </is>
      </c>
      <c r="B22" s="17" t="inlineStr"/>
      <c r="M22" s="29" t="inlineStr">
        <is>
          <t>Bourbon Vanilla</t>
        </is>
      </c>
      <c r="N22" s="29" t="inlineStr">
        <is>
          <t>Green</t>
        </is>
      </c>
      <c r="O22" s="29" t="inlineStr">
        <is>
          <t>Spring</t>
        </is>
      </c>
    </row>
    <row r="23">
      <c r="A23" s="29" t="inlineStr">
        <is>
          <t>Herbal</t>
        </is>
      </c>
      <c r="B23" s="17" t="inlineStr"/>
      <c r="M23" s="29" t="inlineStr">
        <is>
          <t>Brown Sugar</t>
        </is>
      </c>
      <c r="N23" s="29" t="inlineStr">
        <is>
          <t>Herbal</t>
        </is>
      </c>
      <c r="O23" s="29" t="inlineStr">
        <is>
          <t>Spring</t>
        </is>
      </c>
    </row>
    <row r="24">
      <c r="A24" s="29" t="inlineStr">
        <is>
          <t>Honey</t>
        </is>
      </c>
      <c r="B24" s="17" t="inlineStr"/>
      <c r="M24" s="29" t="inlineStr">
        <is>
          <t>Bulgarian Rose</t>
        </is>
      </c>
      <c r="N24" s="29" t="inlineStr">
        <is>
          <t>Honey</t>
        </is>
      </c>
      <c r="O24" s="29" t="inlineStr">
        <is>
          <t>Winter</t>
        </is>
      </c>
    </row>
    <row r="25">
      <c r="A25" s="29" t="inlineStr">
        <is>
          <t>Iris</t>
        </is>
      </c>
      <c r="B25" s="17" t="inlineStr"/>
      <c r="M25" s="29" t="inlineStr">
        <is>
          <t>Butter</t>
        </is>
      </c>
      <c r="N25" s="29" t="inlineStr">
        <is>
          <t>Iris</t>
        </is>
      </c>
      <c r="O25" s="29" t="inlineStr">
        <is>
          <t>Spring</t>
        </is>
      </c>
    </row>
    <row r="26">
      <c r="A26" s="29" t="inlineStr">
        <is>
          <t>Lactonic</t>
        </is>
      </c>
      <c r="B26" s="17" t="inlineStr"/>
      <c r="M26" s="29" t="inlineStr">
        <is>
          <t>Cacao</t>
        </is>
      </c>
      <c r="N26" s="29" t="inlineStr">
        <is>
          <t>Lactonic</t>
        </is>
      </c>
      <c r="O26" s="29" t="inlineStr">
        <is>
          <t>Autumn</t>
        </is>
      </c>
    </row>
    <row r="27">
      <c r="A27" s="29" t="inlineStr">
        <is>
          <t>Lavender</t>
        </is>
      </c>
      <c r="B27" s="17" t="inlineStr"/>
      <c r="M27" s="29" t="inlineStr">
        <is>
          <t>Candied Almond</t>
        </is>
      </c>
      <c r="N27" s="29" t="inlineStr">
        <is>
          <t>Lavender</t>
        </is>
      </c>
      <c r="O27" s="29" t="inlineStr">
        <is>
          <t>Spring</t>
        </is>
      </c>
    </row>
    <row r="28">
      <c r="A28" s="29" t="inlineStr">
        <is>
          <t>Leather</t>
        </is>
      </c>
      <c r="B28" s="17" t="inlineStr"/>
      <c r="M28" s="29" t="inlineStr">
        <is>
          <t>Candied Violet</t>
        </is>
      </c>
      <c r="N28" s="29" t="inlineStr">
        <is>
          <t>Leather</t>
        </is>
      </c>
      <c r="O28" s="29" t="inlineStr">
        <is>
          <t>Autumn</t>
        </is>
      </c>
    </row>
    <row r="29">
      <c r="A29" s="29" t="inlineStr">
        <is>
          <t>Marine</t>
        </is>
      </c>
      <c r="B29" s="17" t="inlineStr"/>
      <c r="M29" s="29" t="inlineStr">
        <is>
          <t>Caramel</t>
        </is>
      </c>
      <c r="N29" s="29" t="inlineStr">
        <is>
          <t>Marine</t>
        </is>
      </c>
      <c r="O29" s="29" t="inlineStr">
        <is>
          <t>Summer</t>
        </is>
      </c>
    </row>
    <row r="30">
      <c r="A30" s="29" t="inlineStr">
        <is>
          <t>Mossy</t>
        </is>
      </c>
      <c r="B30" s="17" t="inlineStr"/>
      <c r="M30" s="29" t="inlineStr">
        <is>
          <t>Cardamom</t>
        </is>
      </c>
      <c r="N30" s="29" t="inlineStr">
        <is>
          <t>Mossy</t>
        </is>
      </c>
      <c r="O30" s="29" t="inlineStr">
        <is>
          <t>Autumn</t>
        </is>
      </c>
    </row>
    <row r="31">
      <c r="A31" s="29" t="inlineStr">
        <is>
          <t>Musky</t>
        </is>
      </c>
      <c r="B31" s="17" t="inlineStr">
        <is>
          <t>✔</t>
        </is>
      </c>
      <c r="M31" s="29" t="inlineStr">
        <is>
          <t>Carrot Seeds</t>
        </is>
      </c>
      <c r="N31" s="29" t="inlineStr">
        <is>
          <t>Musky</t>
        </is>
      </c>
      <c r="O31" s="29" t="inlineStr">
        <is>
          <t>Autumn</t>
        </is>
      </c>
    </row>
    <row r="32">
      <c r="A32" s="29" t="inlineStr">
        <is>
          <t>Nutty</t>
        </is>
      </c>
      <c r="B32" s="17" t="inlineStr">
        <is>
          <t>✔</t>
        </is>
      </c>
      <c r="M32" s="29" t="inlineStr">
        <is>
          <t>Cashmere Wood</t>
        </is>
      </c>
      <c r="N32" s="29" t="inlineStr">
        <is>
          <t>Nutty</t>
        </is>
      </c>
      <c r="O32" s="29" t="inlineStr">
        <is>
          <t>Winter</t>
        </is>
      </c>
    </row>
    <row r="33">
      <c r="A33" s="29" t="inlineStr">
        <is>
          <t>Oud</t>
        </is>
      </c>
      <c r="B33" s="17" t="inlineStr">
        <is>
          <t>✔</t>
        </is>
      </c>
      <c r="M33" s="29" t="inlineStr">
        <is>
          <t>Cedar</t>
        </is>
      </c>
      <c r="N33" s="29" t="inlineStr">
        <is>
          <t>Oud</t>
        </is>
      </c>
      <c r="O33" s="29" t="inlineStr">
        <is>
          <t>Winter</t>
        </is>
      </c>
    </row>
    <row r="34">
      <c r="A34" s="29" t="inlineStr">
        <is>
          <t>Ozonic</t>
        </is>
      </c>
      <c r="B34" s="17" t="inlineStr"/>
      <c r="M34" s="29" t="inlineStr">
        <is>
          <t>Cedarwood</t>
        </is>
      </c>
      <c r="N34" s="29" t="inlineStr">
        <is>
          <t>Ozonic</t>
        </is>
      </c>
      <c r="O34" s="29" t="inlineStr">
        <is>
          <t>Summer</t>
        </is>
      </c>
    </row>
    <row r="35">
      <c r="A35" s="29" t="inlineStr">
        <is>
          <t>Patchouli</t>
        </is>
      </c>
      <c r="B35" s="17" t="inlineStr"/>
      <c r="M35" s="29" t="inlineStr">
        <is>
          <t>Cinnamon</t>
        </is>
      </c>
      <c r="N35" s="29" t="inlineStr">
        <is>
          <t>Patchouli</t>
        </is>
      </c>
      <c r="O35" s="29" t="inlineStr">
        <is>
          <t>Autumn</t>
        </is>
      </c>
    </row>
    <row r="36">
      <c r="A36" s="29" t="inlineStr">
        <is>
          <t>Powdery</t>
        </is>
      </c>
      <c r="B36" s="17" t="inlineStr">
        <is>
          <t>✔</t>
        </is>
      </c>
      <c r="M36" s="29" t="inlineStr">
        <is>
          <t>Citron</t>
        </is>
      </c>
      <c r="N36" s="29" t="inlineStr">
        <is>
          <t>Powdery</t>
        </is>
      </c>
      <c r="O36" s="29" t="inlineStr">
        <is>
          <t>Autumn</t>
        </is>
      </c>
    </row>
    <row r="37">
      <c r="A37" s="29" t="inlineStr">
        <is>
          <t>Rose</t>
        </is>
      </c>
      <c r="B37" s="17" t="inlineStr">
        <is>
          <t>✔</t>
        </is>
      </c>
      <c r="M37" s="29" t="inlineStr">
        <is>
          <t>Clove</t>
        </is>
      </c>
      <c r="N37" s="29" t="inlineStr">
        <is>
          <t>Rose</t>
        </is>
      </c>
      <c r="O37" s="29" t="inlineStr">
        <is>
          <t>Spring</t>
        </is>
      </c>
    </row>
    <row r="38">
      <c r="A38" s="29" t="inlineStr">
        <is>
          <t>Salty</t>
        </is>
      </c>
      <c r="B38" s="17" t="inlineStr">
        <is>
          <t>✔</t>
        </is>
      </c>
      <c r="M38" s="29" t="inlineStr">
        <is>
          <t>Coconut</t>
        </is>
      </c>
      <c r="N38" s="29" t="inlineStr">
        <is>
          <t>Salty</t>
        </is>
      </c>
      <c r="O38" s="29" t="inlineStr">
        <is>
          <t>Summer</t>
        </is>
      </c>
    </row>
    <row r="39">
      <c r="A39" s="29" t="inlineStr">
        <is>
          <t>Smoky</t>
        </is>
      </c>
      <c r="B39" s="17" t="inlineStr"/>
      <c r="M39" s="29" t="inlineStr">
        <is>
          <t>Coconut Milk</t>
        </is>
      </c>
      <c r="N39" s="29" t="inlineStr">
        <is>
          <t>Smoky</t>
        </is>
      </c>
      <c r="O39" s="29" t="inlineStr">
        <is>
          <t>Winter</t>
        </is>
      </c>
    </row>
    <row r="40">
      <c r="A40" s="29" t="inlineStr">
        <is>
          <t>Soft Spicy</t>
        </is>
      </c>
      <c r="B40" s="17" t="inlineStr"/>
      <c r="M40" s="29" t="inlineStr">
        <is>
          <t>Coconut Powder</t>
        </is>
      </c>
      <c r="N40" s="29" t="inlineStr">
        <is>
          <t>Soft Spicy</t>
        </is>
      </c>
      <c r="O40" s="29" t="inlineStr">
        <is>
          <t>Winter</t>
        </is>
      </c>
    </row>
    <row r="41">
      <c r="A41" s="29" t="inlineStr">
        <is>
          <t>Sweet</t>
        </is>
      </c>
      <c r="B41" s="17" t="inlineStr">
        <is>
          <t>✔</t>
        </is>
      </c>
      <c r="M41" s="29" t="inlineStr">
        <is>
          <t>Cognac</t>
        </is>
      </c>
      <c r="N41" s="29" t="inlineStr">
        <is>
          <t>Sweet</t>
        </is>
      </c>
      <c r="O41" s="29" t="inlineStr">
        <is>
          <t>Winter</t>
        </is>
      </c>
    </row>
    <row r="42">
      <c r="A42" s="29" t="inlineStr">
        <is>
          <t>Tobacco</t>
        </is>
      </c>
      <c r="B42" s="17" t="inlineStr"/>
      <c r="M42" s="29" t="inlineStr">
        <is>
          <t>Coriander</t>
        </is>
      </c>
      <c r="N42" s="29" t="inlineStr">
        <is>
          <t>Tobacco</t>
        </is>
      </c>
      <c r="O42" s="29" t="inlineStr">
        <is>
          <t>Winter</t>
        </is>
      </c>
    </row>
    <row r="43">
      <c r="A43" s="29" t="inlineStr">
        <is>
          <t>Tropical</t>
        </is>
      </c>
      <c r="B43" s="17" t="inlineStr"/>
      <c r="M43" s="29" t="inlineStr">
        <is>
          <t>Cotton Candy</t>
        </is>
      </c>
      <c r="N43" s="29" t="inlineStr">
        <is>
          <t>Tropical</t>
        </is>
      </c>
      <c r="O43" s="29" t="inlineStr">
        <is>
          <t>Summer</t>
        </is>
      </c>
    </row>
    <row r="44">
      <c r="A44" s="29" t="inlineStr">
        <is>
          <t>Vanilla</t>
        </is>
      </c>
      <c r="B44" s="17" t="inlineStr">
        <is>
          <t>✔</t>
        </is>
      </c>
      <c r="M44" s="29" t="inlineStr">
        <is>
          <t>Coumarin</t>
        </is>
      </c>
      <c r="N44" s="29" t="inlineStr">
        <is>
          <t>Vanilla</t>
        </is>
      </c>
      <c r="O44" s="29" t="inlineStr">
        <is>
          <t>Winter</t>
        </is>
      </c>
    </row>
    <row r="45">
      <c r="A45" s="29" t="inlineStr">
        <is>
          <t>Violet</t>
        </is>
      </c>
      <c r="B45" s="17" t="inlineStr"/>
      <c r="M45" s="29" t="inlineStr">
        <is>
          <t>Cypress</t>
        </is>
      </c>
      <c r="N45" s="29" t="inlineStr">
        <is>
          <t>Violet</t>
        </is>
      </c>
      <c r="O45" s="29" t="inlineStr">
        <is>
          <t>Spring</t>
        </is>
      </c>
    </row>
    <row r="46">
      <c r="A46" s="29" t="inlineStr">
        <is>
          <t>Warm Spicy</t>
        </is>
      </c>
      <c r="B46" s="17" t="inlineStr">
        <is>
          <t>✔</t>
        </is>
      </c>
      <c r="M46" s="29" t="inlineStr">
        <is>
          <t>Cypriol</t>
        </is>
      </c>
      <c r="N46" s="29" t="inlineStr">
        <is>
          <t>Warm Spicy</t>
        </is>
      </c>
      <c r="O46" s="29" t="inlineStr">
        <is>
          <t>Winter</t>
        </is>
      </c>
    </row>
    <row r="47">
      <c r="A47" s="29" t="inlineStr">
        <is>
          <t>White Floral</t>
        </is>
      </c>
      <c r="B47" s="17" t="inlineStr">
        <is>
          <t>✔</t>
        </is>
      </c>
      <c r="M47" s="29" t="inlineStr">
        <is>
          <t>Damask Rose</t>
        </is>
      </c>
      <c r="N47" s="29" t="inlineStr">
        <is>
          <t>White Floral</t>
        </is>
      </c>
      <c r="O47" s="29" t="inlineStr">
        <is>
          <t>Spring</t>
        </is>
      </c>
    </row>
    <row r="48">
      <c r="A48" s="29" t="inlineStr">
        <is>
          <t>Woody</t>
        </is>
      </c>
      <c r="B48" s="17" t="inlineStr">
        <is>
          <t>✔</t>
        </is>
      </c>
      <c r="M48" s="29" t="inlineStr">
        <is>
          <t>Dates</t>
        </is>
      </c>
      <c r="N48" s="29" t="inlineStr">
        <is>
          <t>Woody</t>
        </is>
      </c>
      <c r="O48" s="29" t="inlineStr">
        <is>
          <t>Autumn</t>
        </is>
      </c>
    </row>
    <row r="49">
      <c r="A49" s="29" t="inlineStr">
        <is>
          <t>Yellow Floral</t>
        </is>
      </c>
      <c r="B49" s="17" t="inlineStr"/>
      <c r="M49" s="29" t="inlineStr">
        <is>
          <t>Driftwood</t>
        </is>
      </c>
      <c r="N49" s="29" t="inlineStr">
        <is>
          <t>Yellow Floral</t>
        </is>
      </c>
      <c r="O49" s="29" t="inlineStr">
        <is>
          <t>Spring</t>
        </is>
      </c>
    </row>
    <row r="50">
      <c r="M50" s="29" t="inlineStr">
        <is>
          <t>Elemi</t>
        </is>
      </c>
    </row>
    <row r="51">
      <c r="M51" s="29" t="inlineStr">
        <is>
          <t>Fig</t>
        </is>
      </c>
    </row>
    <row r="52">
      <c r="M52" s="29" t="inlineStr">
        <is>
          <t>Floral Notes</t>
        </is>
      </c>
    </row>
    <row r="53">
      <c r="M53" s="29" t="inlineStr">
        <is>
          <t>Frangipani</t>
        </is>
      </c>
    </row>
    <row r="54">
      <c r="M54" s="29" t="inlineStr">
        <is>
          <t>Freesia</t>
        </is>
      </c>
    </row>
    <row r="55">
      <c r="M55" s="29" t="inlineStr">
        <is>
          <t>Fruity Notes</t>
        </is>
      </c>
    </row>
    <row r="56">
      <c r="M56" s="29" t="inlineStr">
        <is>
          <t>Geranium</t>
        </is>
      </c>
    </row>
    <row r="57">
      <c r="M57" s="29" t="inlineStr">
        <is>
          <t>Ginger</t>
        </is>
      </c>
    </row>
    <row r="58">
      <c r="M58" s="29" t="inlineStr">
        <is>
          <t>Grapefruit</t>
        </is>
      </c>
    </row>
    <row r="59">
      <c r="M59" s="29" t="inlineStr">
        <is>
          <t>Green Notes</t>
        </is>
      </c>
    </row>
    <row r="60">
      <c r="M60" s="29" t="inlineStr">
        <is>
          <t>Guaiac Wood</t>
        </is>
      </c>
    </row>
    <row r="61">
      <c r="M61" s="29" t="inlineStr">
        <is>
          <t>Hazelnut</t>
        </is>
      </c>
    </row>
    <row r="62">
      <c r="M62" s="29" t="inlineStr">
        <is>
          <t>Hedione</t>
        </is>
      </c>
    </row>
    <row r="63">
      <c r="M63" s="29" t="inlineStr">
        <is>
          <t>Heliotrope</t>
        </is>
      </c>
    </row>
    <row r="64">
      <c r="M64" s="29" t="inlineStr">
        <is>
          <t>Hibiscus</t>
        </is>
      </c>
    </row>
    <row r="65">
      <c r="M65" s="29" t="inlineStr">
        <is>
          <t>Honey</t>
        </is>
      </c>
    </row>
    <row r="66">
      <c r="M66" s="29" t="inlineStr">
        <is>
          <t>Incense</t>
        </is>
      </c>
    </row>
    <row r="67">
      <c r="M67" s="29" t="inlineStr">
        <is>
          <t>Iris</t>
        </is>
      </c>
    </row>
    <row r="68">
      <c r="M68" s="29" t="inlineStr">
        <is>
          <t>Iso E Super</t>
        </is>
      </c>
    </row>
    <row r="69">
      <c r="M69" s="29" t="inlineStr">
        <is>
          <t>Italian Lemon</t>
        </is>
      </c>
    </row>
    <row r="70">
      <c r="M70" s="29" t="inlineStr">
        <is>
          <t>Jasmine</t>
        </is>
      </c>
    </row>
    <row r="71">
      <c r="M71" s="29" t="inlineStr">
        <is>
          <t>Jasmine Sambac</t>
        </is>
      </c>
    </row>
    <row r="72">
      <c r="M72" s="29" t="inlineStr">
        <is>
          <t>Juniper</t>
        </is>
      </c>
    </row>
    <row r="73">
      <c r="M73" s="29" t="inlineStr">
        <is>
          <t>Labdanum</t>
        </is>
      </c>
    </row>
    <row r="74">
      <c r="M74" s="29" t="inlineStr">
        <is>
          <t>Lactones</t>
        </is>
      </c>
    </row>
    <row r="75">
      <c r="M75" s="29" t="inlineStr">
        <is>
          <t>Lavender</t>
        </is>
      </c>
    </row>
    <row r="76">
      <c r="M76" s="29" t="inlineStr">
        <is>
          <t>Leather</t>
        </is>
      </c>
    </row>
    <row r="77">
      <c r="M77" s="29" t="inlineStr">
        <is>
          <t>Lemon</t>
        </is>
      </c>
    </row>
    <row r="78">
      <c r="M78" s="29" t="inlineStr">
        <is>
          <t>Lemon Zest</t>
        </is>
      </c>
    </row>
    <row r="79">
      <c r="M79" s="29" t="inlineStr">
        <is>
          <t>Lily-of-the-Valley</t>
        </is>
      </c>
    </row>
    <row r="80">
      <c r="M80" s="29" t="inlineStr">
        <is>
          <t>Lychee</t>
        </is>
      </c>
    </row>
    <row r="81">
      <c r="M81" s="29" t="inlineStr">
        <is>
          <t>Madagascar Vanilla</t>
        </is>
      </c>
    </row>
    <row r="82">
      <c r="M82" s="29" t="inlineStr">
        <is>
          <t>Mandarin Orange</t>
        </is>
      </c>
    </row>
    <row r="83">
      <c r="M83" s="29" t="inlineStr">
        <is>
          <t>Mango</t>
        </is>
      </c>
    </row>
    <row r="84">
      <c r="M84" s="29" t="inlineStr">
        <is>
          <t>Marine Notes</t>
        </is>
      </c>
    </row>
    <row r="85">
      <c r="M85" s="29" t="inlineStr">
        <is>
          <t>Marshmallow</t>
        </is>
      </c>
    </row>
    <row r="86">
      <c r="M86" s="29" t="inlineStr">
        <is>
          <t>May Rose</t>
        </is>
      </c>
    </row>
    <row r="87">
      <c r="M87" s="29" t="inlineStr">
        <is>
          <t>Mint</t>
        </is>
      </c>
    </row>
    <row r="88">
      <c r="M88" s="29" t="inlineStr">
        <is>
          <t>Moss</t>
        </is>
      </c>
    </row>
    <row r="89">
      <c r="M89" s="29" t="inlineStr">
        <is>
          <t>Musk</t>
        </is>
      </c>
    </row>
    <row r="90">
      <c r="M90" s="29" t="inlineStr">
        <is>
          <t>Myrrh</t>
        </is>
      </c>
    </row>
    <row r="91">
      <c r="M91" s="29" t="inlineStr">
        <is>
          <t>Nectarine Blossom</t>
        </is>
      </c>
    </row>
    <row r="92">
      <c r="M92" s="29" t="inlineStr">
        <is>
          <t>Neroli</t>
        </is>
      </c>
    </row>
    <row r="93">
      <c r="M93" s="29" t="inlineStr">
        <is>
          <t>Nutmeg</t>
        </is>
      </c>
    </row>
    <row r="94">
      <c r="M94" s="29" t="inlineStr">
        <is>
          <t>Oak</t>
        </is>
      </c>
    </row>
    <row r="95">
      <c r="M95" s="29" t="inlineStr">
        <is>
          <t>Oakmoss</t>
        </is>
      </c>
    </row>
    <row r="96">
      <c r="M96" s="29" t="inlineStr">
        <is>
          <t>Olibanum</t>
        </is>
      </c>
    </row>
    <row r="97">
      <c r="M97" s="29" t="inlineStr">
        <is>
          <t>Orange</t>
        </is>
      </c>
    </row>
    <row r="98">
      <c r="M98" s="29" t="inlineStr">
        <is>
          <t>Orange Blossom</t>
        </is>
      </c>
    </row>
    <row r="99">
      <c r="M99" s="29" t="inlineStr">
        <is>
          <t>Orchid</t>
        </is>
      </c>
    </row>
    <row r="100">
      <c r="M100" s="29" t="inlineStr">
        <is>
          <t>Osmanthus</t>
        </is>
      </c>
    </row>
    <row r="101">
      <c r="M101" s="29" t="inlineStr">
        <is>
          <t>Oud</t>
        </is>
      </c>
    </row>
    <row r="102">
      <c r="M102" s="29" t="inlineStr">
        <is>
          <t>Palo Santo</t>
        </is>
      </c>
    </row>
    <row r="103">
      <c r="M103" s="29" t="inlineStr">
        <is>
          <t>Passionfruit</t>
        </is>
      </c>
    </row>
    <row r="104">
      <c r="M104" s="29" t="inlineStr">
        <is>
          <t>Patchouli</t>
        </is>
      </c>
    </row>
    <row r="105">
      <c r="M105" s="29" t="inlineStr">
        <is>
          <t>Pear</t>
        </is>
      </c>
    </row>
    <row r="106">
      <c r="M106" s="29" t="inlineStr">
        <is>
          <t>Peony</t>
        </is>
      </c>
    </row>
    <row r="107">
      <c r="M107" s="29" t="inlineStr">
        <is>
          <t>Pepper</t>
        </is>
      </c>
    </row>
    <row r="108">
      <c r="M108" s="29" t="inlineStr">
        <is>
          <t>Pineapple</t>
        </is>
      </c>
    </row>
    <row r="109">
      <c r="M109" s="29" t="inlineStr">
        <is>
          <t>Pink Grapefruit</t>
        </is>
      </c>
    </row>
    <row r="110">
      <c r="M110" s="29" t="inlineStr">
        <is>
          <t>Pink Pepper</t>
        </is>
      </c>
    </row>
    <row r="111">
      <c r="M111" s="29" t="inlineStr">
        <is>
          <t>Pistachio</t>
        </is>
      </c>
    </row>
    <row r="112">
      <c r="M112" s="29" t="inlineStr">
        <is>
          <t>Praline</t>
        </is>
      </c>
    </row>
    <row r="113">
      <c r="M113" s="29" t="inlineStr">
        <is>
          <t>Raspberry</t>
        </is>
      </c>
    </row>
    <row r="114">
      <c r="M114" s="29" t="inlineStr">
        <is>
          <t>Raspberry Blossom</t>
        </is>
      </c>
    </row>
    <row r="115">
      <c r="M115" s="29" t="inlineStr">
        <is>
          <t>Red Apple</t>
        </is>
      </c>
    </row>
    <row r="116">
      <c r="M116" s="29" t="inlineStr">
        <is>
          <t>Red Berries</t>
        </is>
      </c>
    </row>
    <row r="117">
      <c r="M117" s="29" t="inlineStr">
        <is>
          <t>Rose</t>
        </is>
      </c>
    </row>
    <row r="118">
      <c r="M118" s="29" t="inlineStr">
        <is>
          <t>Rose Centifolia</t>
        </is>
      </c>
    </row>
    <row r="119">
      <c r="M119" s="29" t="inlineStr">
        <is>
          <t>Rose Damascena</t>
        </is>
      </c>
    </row>
    <row r="120">
      <c r="M120" s="29" t="inlineStr">
        <is>
          <t>Rum</t>
        </is>
      </c>
    </row>
    <row r="121">
      <c r="M121" s="29" t="inlineStr">
        <is>
          <t>Saffron</t>
        </is>
      </c>
    </row>
    <row r="122">
      <c r="M122" s="29" t="inlineStr">
        <is>
          <t>Sage</t>
        </is>
      </c>
    </row>
    <row r="123">
      <c r="M123" s="29" t="inlineStr">
        <is>
          <t>Sandalwood</t>
        </is>
      </c>
    </row>
    <row r="124">
      <c r="M124" s="29" t="inlineStr">
        <is>
          <t>Sea Salt</t>
        </is>
      </c>
    </row>
    <row r="125">
      <c r="M125" s="29" t="inlineStr">
        <is>
          <t>Seaweed</t>
        </is>
      </c>
    </row>
    <row r="126">
      <c r="M126" s="29" t="inlineStr">
        <is>
          <t>Siam Benzoin</t>
        </is>
      </c>
    </row>
    <row r="127">
      <c r="M127" s="29" t="inlineStr">
        <is>
          <t>Solar Notes</t>
        </is>
      </c>
    </row>
    <row r="128">
      <c r="M128" s="29" t="inlineStr">
        <is>
          <t>Spearmint</t>
        </is>
      </c>
    </row>
    <row r="129">
      <c r="M129" s="29" t="inlineStr">
        <is>
          <t>Strawberry</t>
        </is>
      </c>
    </row>
    <row r="130">
      <c r="M130" s="29" t="inlineStr">
        <is>
          <t>Styrax</t>
        </is>
      </c>
    </row>
    <row r="131">
      <c r="M131" s="29" t="inlineStr">
        <is>
          <t>Suede</t>
        </is>
      </c>
    </row>
    <row r="132">
      <c r="M132" s="29" t="inlineStr">
        <is>
          <t>Sugar</t>
        </is>
      </c>
    </row>
    <row r="133">
      <c r="M133" s="29" t="inlineStr">
        <is>
          <t>Sugar Cane</t>
        </is>
      </c>
    </row>
    <row r="134">
      <c r="M134" s="29" t="inlineStr">
        <is>
          <t>Tobacco</t>
        </is>
      </c>
    </row>
    <row r="135">
      <c r="M135" s="29" t="inlineStr">
        <is>
          <t>Toffee</t>
        </is>
      </c>
    </row>
    <row r="136">
      <c r="M136" s="29" t="inlineStr">
        <is>
          <t>Tonka Bean</t>
        </is>
      </c>
    </row>
    <row r="137">
      <c r="M137" s="29" t="inlineStr">
        <is>
          <t>Turkish Rose</t>
        </is>
      </c>
    </row>
    <row r="138">
      <c r="M138" s="29" t="inlineStr">
        <is>
          <t>Vanilla</t>
        </is>
      </c>
    </row>
    <row r="139">
      <c r="M139" s="29" t="inlineStr">
        <is>
          <t>Vanilla Absolute</t>
        </is>
      </c>
    </row>
    <row r="140">
      <c r="M140" s="29" t="inlineStr">
        <is>
          <t>Vanilla Caviar</t>
        </is>
      </c>
    </row>
    <row r="141">
      <c r="M141" s="29" t="inlineStr">
        <is>
          <t>Vanilla Flower</t>
        </is>
      </c>
    </row>
    <row r="142">
      <c r="M142" s="29" t="inlineStr">
        <is>
          <t>Vanilla Orchid</t>
        </is>
      </c>
    </row>
    <row r="143">
      <c r="M143" s="29" t="inlineStr">
        <is>
          <t>Vetiver</t>
        </is>
      </c>
    </row>
    <row r="144">
      <c r="M144" s="29" t="inlineStr">
        <is>
          <t>Violet</t>
        </is>
      </c>
    </row>
    <row r="145">
      <c r="M145" s="29" t="inlineStr">
        <is>
          <t>Violet Leaf</t>
        </is>
      </c>
    </row>
    <row r="146">
      <c r="M146" s="29" t="inlineStr">
        <is>
          <t>Watery Notes</t>
        </is>
      </c>
    </row>
    <row r="147">
      <c r="M147" s="29" t="inlineStr">
        <is>
          <t>Whipped Cream</t>
        </is>
      </c>
    </row>
    <row r="148">
      <c r="M148" s="29" t="inlineStr">
        <is>
          <t>White Floral Notes</t>
        </is>
      </c>
    </row>
    <row r="149">
      <c r="M149" s="29" t="inlineStr">
        <is>
          <t>White Musk</t>
        </is>
      </c>
    </row>
    <row r="150">
      <c r="M150" s="29" t="inlineStr">
        <is>
          <t>White Peach</t>
        </is>
      </c>
    </row>
    <row r="151">
      <c r="M151" s="29" t="inlineStr">
        <is>
          <t>Wild Berries</t>
        </is>
      </c>
    </row>
    <row r="152">
      <c r="M152" s="29" t="inlineStr">
        <is>
          <t>Woody Notes</t>
        </is>
      </c>
    </row>
    <row r="155">
      <c r="A155" s="22" t="inlineStr">
        <is>
          <t>Scent families are Fragrantica main-accord names; ✔ marks the ones observed directly in the 2026-08-13 research of the 40 referenced fragrances. The note list is every note appearing in those 40 pyramids — it is a starting vocabulary, and the note dropdowns accept new values.</t>
        </is>
      </c>
    </row>
  </sheetData>
  <sheetProtection selectLockedCells="0" selectUnlockedCells="0" sheet="1" objects="0" insertRows="1" insertHyperlinks="1" autoFilter="1" scenarios="0" formatColumns="1" deleteColumns="1" insertColumns="1" pivotTables="1" deleteRows="1" formatCells="1" formatRows="1" sort="1"/>
  <mergeCells count="1">
    <mergeCell ref="A155:D15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2026-08-13T10:01:02Z</dcterms:created>
  <dcterms:modified xmlns:dcterms="http://purl.org/dc/terms/" xmlns:xsi="http://www.w3.org/2001/XMLSchema-instance" xsi:type="dcterms:W3CDTF">2026-08-13T10:01:03Z</dcterms:modified>
</cp:coreProperties>
</file>